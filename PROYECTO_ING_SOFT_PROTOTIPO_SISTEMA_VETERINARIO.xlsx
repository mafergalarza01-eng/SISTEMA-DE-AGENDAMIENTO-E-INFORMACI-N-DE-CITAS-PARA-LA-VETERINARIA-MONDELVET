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nes\Downloads\SISTEMA-DE-AGENDAMIENTO-E-INFORMACI-N-DE-CITAS-PARA-LA-VETERINARIA-MONDELVET\"/>
    </mc:Choice>
  </mc:AlternateContent>
  <xr:revisionPtr revIDLastSave="0" documentId="13_ncr:1_{D202D7D1-0D24-458E-9CAA-241E180F2930}" xr6:coauthVersionLast="47" xr6:coauthVersionMax="47" xr10:uidLastSave="{00000000-0000-0000-0000-000000000000}"/>
  <bookViews>
    <workbookView xWindow="-110" yWindow="-110" windowWidth="19420" windowHeight="10300" activeTab="1" xr2:uid="{3AB8A230-48A4-473C-8D8D-C4BAF777D56F}"/>
  </bookViews>
  <sheets>
    <sheet name="Menu Principal" sheetId="6" r:id="rId1"/>
    <sheet name="Calendario" sheetId="7" r:id="rId2"/>
    <sheet name="Registro de agenda" sheetId="8" r:id="rId3"/>
    <sheet name="Factura" sheetId="5" r:id="rId4"/>
    <sheet name="Clientes" sheetId="3" r:id="rId5"/>
    <sheet name="Proveedor" sheetId="4" r:id="rId6"/>
    <sheet name="Lista de control" sheetId="2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2" i="5" l="1"/>
  <c r="E16" i="5"/>
  <c r="G16" i="5" s="1"/>
  <c r="E17" i="5"/>
  <c r="G17" i="5" s="1"/>
  <c r="E18" i="5"/>
  <c r="G18" i="5" s="1"/>
  <c r="E19" i="5"/>
  <c r="G19" i="5" s="1"/>
  <c r="E20" i="5"/>
  <c r="G20" i="5" s="1"/>
  <c r="E21" i="5"/>
  <c r="G21" i="5" s="1"/>
  <c r="E22" i="5"/>
  <c r="G22" i="5" s="1"/>
  <c r="E23" i="5"/>
  <c r="G23" i="5" s="1"/>
  <c r="E24" i="5"/>
  <c r="G24" i="5" s="1"/>
  <c r="E25" i="5"/>
  <c r="G25" i="5" s="1"/>
  <c r="G12" i="5"/>
  <c r="D16" i="5"/>
  <c r="D17" i="5"/>
  <c r="D18" i="5"/>
  <c r="D19" i="5"/>
  <c r="D20" i="5"/>
  <c r="D21" i="5"/>
  <c r="D22" i="5"/>
  <c r="D23" i="5"/>
  <c r="D24" i="5"/>
  <c r="D25" i="5"/>
  <c r="G11" i="5"/>
  <c r="G10" i="5"/>
  <c r="D11" i="5"/>
  <c r="D14" i="2"/>
  <c r="D13" i="2"/>
  <c r="D4" i="2"/>
  <c r="D5" i="2"/>
  <c r="D6" i="2"/>
  <c r="D7" i="2"/>
  <c r="D8" i="2"/>
  <c r="D9" i="2"/>
  <c r="D10" i="2"/>
  <c r="D11" i="2"/>
  <c r="D12" i="2"/>
  <c r="D3" i="2"/>
  <c r="G27" i="5" l="1"/>
  <c r="G28" i="5" l="1"/>
  <c r="G29" i="5"/>
  <c r="G30" i="5" l="1"/>
</calcChain>
</file>

<file path=xl/sharedStrings.xml><?xml version="1.0" encoding="utf-8"?>
<sst xmlns="http://schemas.openxmlformats.org/spreadsheetml/2006/main" count="214" uniqueCount="184">
  <si>
    <t>Codigo</t>
  </si>
  <si>
    <t>PVP</t>
  </si>
  <si>
    <t>Lista de Control</t>
  </si>
  <si>
    <t>Servicio</t>
  </si>
  <si>
    <t>Costo</t>
  </si>
  <si>
    <t>Descuento</t>
  </si>
  <si>
    <t>C001</t>
  </si>
  <si>
    <t>Consulta</t>
  </si>
  <si>
    <t>C002</t>
  </si>
  <si>
    <t>Vacuna</t>
  </si>
  <si>
    <t>C003</t>
  </si>
  <si>
    <t>Cirugía</t>
  </si>
  <si>
    <t>C004</t>
  </si>
  <si>
    <t>Desparasitación</t>
  </si>
  <si>
    <t>C005</t>
  </si>
  <si>
    <t>Inseminación</t>
  </si>
  <si>
    <t>C006</t>
  </si>
  <si>
    <t>Esterilización</t>
  </si>
  <si>
    <t>C007</t>
  </si>
  <si>
    <t>Medicinas</t>
  </si>
  <si>
    <t>C008</t>
  </si>
  <si>
    <t>Radiografía</t>
  </si>
  <si>
    <t>C009</t>
  </si>
  <si>
    <t>Bioquimico</t>
  </si>
  <si>
    <t>C010</t>
  </si>
  <si>
    <t>Hemograma</t>
  </si>
  <si>
    <t>C011</t>
  </si>
  <si>
    <t>Ecografía</t>
  </si>
  <si>
    <t>C012</t>
  </si>
  <si>
    <t>ABC</t>
  </si>
  <si>
    <t>Clientes</t>
  </si>
  <si>
    <t>Cedula</t>
  </si>
  <si>
    <t>Nombres</t>
  </si>
  <si>
    <t>Telefono</t>
  </si>
  <si>
    <t>Direccion</t>
  </si>
  <si>
    <t>correo electronico</t>
  </si>
  <si>
    <t>0913678233</t>
  </si>
  <si>
    <t>Juana Perez</t>
  </si>
  <si>
    <t>0987321239</t>
  </si>
  <si>
    <t>Guayacanes</t>
  </si>
  <si>
    <t>jperez@gmail.com</t>
  </si>
  <si>
    <t>1237998242</t>
  </si>
  <si>
    <t>Sandra Rivera</t>
  </si>
  <si>
    <t>0977687123</t>
  </si>
  <si>
    <t>Juan Montalvo</t>
  </si>
  <si>
    <t>riveras@gmail.com</t>
  </si>
  <si>
    <t>0912378123</t>
  </si>
  <si>
    <t>Maria Pinto</t>
  </si>
  <si>
    <t>0967783212</t>
  </si>
  <si>
    <t>Acacias</t>
  </si>
  <si>
    <t>lachiquita@hotmail.com</t>
  </si>
  <si>
    <t>1298438762</t>
  </si>
  <si>
    <t>Tatiana Valle</t>
  </si>
  <si>
    <t>0968273498</t>
  </si>
  <si>
    <t>Flor de Bastion</t>
  </si>
  <si>
    <t>valleft@hotmail.com</t>
  </si>
  <si>
    <t>0912789326</t>
  </si>
  <si>
    <t>Genesis Poveda</t>
  </si>
  <si>
    <t>0968742182</t>
  </si>
  <si>
    <t>Sauces</t>
  </si>
  <si>
    <t>holdchq@hotmail.es</t>
  </si>
  <si>
    <t>0912368723</t>
  </si>
  <si>
    <t>Andres Piedra</t>
  </si>
  <si>
    <t>042678392</t>
  </si>
  <si>
    <t>Guasmo</t>
  </si>
  <si>
    <t>picolin@hotmail.com</t>
  </si>
  <si>
    <t>0912738232</t>
  </si>
  <si>
    <t>Hugo Piguave</t>
  </si>
  <si>
    <t>0976843923</t>
  </si>
  <si>
    <t>Florida</t>
  </si>
  <si>
    <t>ellider@gmail.com</t>
  </si>
  <si>
    <t>1230249023</t>
  </si>
  <si>
    <t>Pierina Vasconez</t>
  </si>
  <si>
    <t>052498495</t>
  </si>
  <si>
    <t>Conchita de Dios</t>
  </si>
  <si>
    <t>laluna@hotmail.com</t>
  </si>
  <si>
    <t>0912478392</t>
  </si>
  <si>
    <t>Tatiana de la Cruz</t>
  </si>
  <si>
    <t>0984394002</t>
  </si>
  <si>
    <t>Isidro Ayora</t>
  </si>
  <si>
    <t>TCruz@hotmail.com</t>
  </si>
  <si>
    <t>0917634824</t>
  </si>
  <si>
    <t>Rodrigo Beltran</t>
  </si>
  <si>
    <t>0978234923</t>
  </si>
  <si>
    <t>Cantuña</t>
  </si>
  <si>
    <t>Rbeltram@hotmail.com</t>
  </si>
  <si>
    <t>Proveedor</t>
  </si>
  <si>
    <t>Nombre</t>
  </si>
  <si>
    <t>Ruc</t>
  </si>
  <si>
    <t>Descripcion_Proveedor</t>
  </si>
  <si>
    <t>Vet_Pro</t>
  </si>
  <si>
    <t>042923043</t>
  </si>
  <si>
    <t>092748929001</t>
  </si>
  <si>
    <t>Insumos Veterinarios</t>
  </si>
  <si>
    <t>AnimalBest</t>
  </si>
  <si>
    <t>0988728383</t>
  </si>
  <si>
    <t>2789397429001</t>
  </si>
  <si>
    <t>Medicamentos</t>
  </si>
  <si>
    <t>Alimet S.A.</t>
  </si>
  <si>
    <t>0912748929</t>
  </si>
  <si>
    <t>3487299930001</t>
  </si>
  <si>
    <t>Gel para Ecografo</t>
  </si>
  <si>
    <t xml:space="preserve">Insufarma </t>
  </si>
  <si>
    <t>0912837823</t>
  </si>
  <si>
    <t>1207439948001</t>
  </si>
  <si>
    <t>Desparasitantes</t>
  </si>
  <si>
    <t>MediVet S.A</t>
  </si>
  <si>
    <t>0912738923</t>
  </si>
  <si>
    <t>1204883494001</t>
  </si>
  <si>
    <t>Proveedor de placas RX</t>
  </si>
  <si>
    <t>Bayer S.A.</t>
  </si>
  <si>
    <t>0927894293</t>
  </si>
  <si>
    <t>0978293489001</t>
  </si>
  <si>
    <t>Jeringuillas</t>
  </si>
  <si>
    <t xml:space="preserve">Laboratorios Hernan </t>
  </si>
  <si>
    <t>0912874292</t>
  </si>
  <si>
    <t>1302784294001</t>
  </si>
  <si>
    <t>Vacunas</t>
  </si>
  <si>
    <t>RUC:091247928739001</t>
  </si>
  <si>
    <t xml:space="preserve">URB. La Gloria </t>
  </si>
  <si>
    <t>Telef.: 9812647829</t>
  </si>
  <si>
    <t>Factura #:</t>
  </si>
  <si>
    <t>FAC-123-0001</t>
  </si>
  <si>
    <t>Cedula:</t>
  </si>
  <si>
    <t>Fecha:</t>
  </si>
  <si>
    <t>Nombre:</t>
  </si>
  <si>
    <t>Teléfono:</t>
  </si>
  <si>
    <t>Correo:</t>
  </si>
  <si>
    <t>Dirección:</t>
  </si>
  <si>
    <t>Detalle</t>
  </si>
  <si>
    <t>Precio Unit</t>
  </si>
  <si>
    <t>Cant.</t>
  </si>
  <si>
    <t>Total</t>
  </si>
  <si>
    <t>Subtotal:</t>
  </si>
  <si>
    <t>Desc:</t>
  </si>
  <si>
    <t>Iva (15%):</t>
  </si>
  <si>
    <t>Descuento:</t>
  </si>
  <si>
    <t>Total:</t>
  </si>
  <si>
    <t xml:space="preserve">Forma de pago: </t>
  </si>
  <si>
    <t>Observaciones:</t>
  </si>
  <si>
    <t>Firma Recibido</t>
  </si>
  <si>
    <t>Firma Vendedor</t>
  </si>
  <si>
    <t>Veterianaria Mondelvet</t>
  </si>
  <si>
    <t>Nombres:</t>
  </si>
  <si>
    <t>Telefono:</t>
  </si>
  <si>
    <t>Direccion:</t>
  </si>
  <si>
    <t>Correo electronico:</t>
  </si>
  <si>
    <t>INGRESO DE DATOS DEL CLIENTE</t>
  </si>
  <si>
    <t>GUARDAR</t>
  </si>
  <si>
    <t>LIMPIAR</t>
  </si>
  <si>
    <t>INGRESO DE NUEVO PRODUCTO O SERVICIO</t>
  </si>
  <si>
    <t>Codigo:</t>
  </si>
  <si>
    <t>Servicio/Producto</t>
  </si>
  <si>
    <t>Ruc:</t>
  </si>
  <si>
    <t>Insumos que provee:</t>
  </si>
  <si>
    <t>Año</t>
  </si>
  <si>
    <t>Mes</t>
  </si>
  <si>
    <t>julio</t>
  </si>
  <si>
    <t>Seleccione dia:</t>
  </si>
  <si>
    <t>HORA</t>
  </si>
  <si>
    <t>PACIENTE</t>
  </si>
  <si>
    <t>Lunes</t>
  </si>
  <si>
    <t>Martes</t>
  </si>
  <si>
    <t>Miercoles</t>
  </si>
  <si>
    <t>Jueves</t>
  </si>
  <si>
    <t>Viernes</t>
  </si>
  <si>
    <t>Sabado</t>
  </si>
  <si>
    <t>Domingo</t>
  </si>
  <si>
    <t>BAÑO FELINO</t>
  </si>
  <si>
    <t>FECHA</t>
  </si>
  <si>
    <t xml:space="preserve">HORA </t>
  </si>
  <si>
    <t>CONSULTA / SERVICIO</t>
  </si>
  <si>
    <t>Fecha de cita:</t>
  </si>
  <si>
    <t>Hora</t>
  </si>
  <si>
    <t>Paciente</t>
  </si>
  <si>
    <t>Consulta/Servicio:</t>
  </si>
  <si>
    <t>Tutor</t>
  </si>
  <si>
    <t>Contacto:</t>
  </si>
  <si>
    <t>CONTACTO</t>
  </si>
  <si>
    <t>INGRESO DE DATOS DEL PROVEEDOR</t>
  </si>
  <si>
    <t>INGRESO DE PACIENTE PARA AGENDA</t>
  </si>
  <si>
    <t>EDITAR</t>
  </si>
  <si>
    <t>BUSCAR</t>
  </si>
  <si>
    <t>CALENDARIO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</si>
</sst>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&quot;$&quot;* #,##0.00_ ;_ &quot;$&quot;* \-#,##0.00_ ;_ &quot;$&quot;* &quot;-&quot;??_ ;_ @_ 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4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1"/>
      <color theme="1"/>
      <name val="Bodoni MT"/>
      <family val="1"/>
    </font>
    <font>
      <sz val="11"/>
      <color theme="1"/>
      <name val="Bookman Old Style"/>
      <family val="1"/>
    </font>
    <font>
      <sz val="16"/>
      <color theme="1"/>
      <name val="Bodoni MT"/>
      <family val="1"/>
    </font>
    <font>
      <sz val="12"/>
      <color theme="1"/>
      <name val="Bodoni MT"/>
      <family val="1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26"/>
      <color theme="1"/>
      <name val="Bodoni MT"/>
      <family val="1"/>
    </font>
    <font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16">
    <xf numFmtId="0" fontId="0" fillId="0" borderId="0" xfId="0"/>
    <xf numFmtId="49" fontId="0" fillId="0" borderId="0" xfId="0" applyNumberFormat="1"/>
    <xf numFmtId="164" fontId="0" fillId="0" borderId="0" xfId="1" applyFont="1"/>
    <xf numFmtId="9" fontId="0" fillId="0" borderId="0" xfId="2" applyFont="1"/>
    <xf numFmtId="0" fontId="0" fillId="0" borderId="0" xfId="0" applyAlignment="1">
      <alignment horizontal="center"/>
    </xf>
    <xf numFmtId="49" fontId="0" fillId="0" borderId="0" xfId="0" applyNumberFormat="1" applyAlignment="1">
      <alignment horizontal="left"/>
    </xf>
    <xf numFmtId="49" fontId="4" fillId="0" borderId="0" xfId="3" applyNumberFormat="1"/>
    <xf numFmtId="49" fontId="0" fillId="0" borderId="0" xfId="0" applyNumberFormat="1" applyAlignment="1">
      <alignment horizontal="center"/>
    </xf>
    <xf numFmtId="49" fontId="10" fillId="2" borderId="1" xfId="0" applyNumberFormat="1" applyFont="1" applyFill="1" applyBorder="1" applyAlignment="1">
      <alignment horizontal="left" vertical="center"/>
    </xf>
    <xf numFmtId="0" fontId="10" fillId="2" borderId="2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7" fillId="2" borderId="0" xfId="0" applyFont="1" applyFill="1" applyAlignment="1">
      <alignment vertical="center"/>
    </xf>
    <xf numFmtId="0" fontId="7" fillId="2" borderId="0" xfId="0" applyFont="1" applyFill="1"/>
    <xf numFmtId="0" fontId="7" fillId="2" borderId="0" xfId="0" applyFont="1" applyFill="1" applyAlignment="1">
      <alignment horizontal="center" vertical="center"/>
    </xf>
    <xf numFmtId="0" fontId="0" fillId="2" borderId="0" xfId="0" applyFill="1"/>
    <xf numFmtId="0" fontId="10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right" vertical="center"/>
    </xf>
    <xf numFmtId="0" fontId="10" fillId="2" borderId="0" xfId="0" applyFont="1" applyFill="1" applyAlignment="1">
      <alignment horizontal="right"/>
    </xf>
    <xf numFmtId="22" fontId="10" fillId="2" borderId="0" xfId="0" applyNumberFormat="1" applyFont="1" applyFill="1" applyAlignment="1">
      <alignment horizontal="left"/>
    </xf>
    <xf numFmtId="0" fontId="7" fillId="2" borderId="0" xfId="0" applyFont="1" applyFill="1" applyAlignment="1">
      <alignment horizontal="left" vertical="center"/>
    </xf>
    <xf numFmtId="0" fontId="8" fillId="2" borderId="0" xfId="0" applyFont="1" applyFill="1"/>
    <xf numFmtId="164" fontId="8" fillId="2" borderId="0" xfId="1" applyFont="1" applyFill="1" applyBorder="1"/>
    <xf numFmtId="0" fontId="0" fillId="2" borderId="0" xfId="0" applyFill="1" applyAlignment="1">
      <alignment horizontal="right"/>
    </xf>
    <xf numFmtId="164" fontId="0" fillId="2" borderId="0" xfId="1" applyFont="1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7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49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4" fontId="8" fillId="2" borderId="0" xfId="1" applyFont="1" applyFill="1" applyBorder="1" applyAlignment="1">
      <alignment horizontal="left"/>
    </xf>
    <xf numFmtId="0" fontId="0" fillId="2" borderId="4" xfId="0" applyFill="1" applyBorder="1" applyAlignment="1">
      <alignment horizontal="right"/>
    </xf>
    <xf numFmtId="0" fontId="0" fillId="3" borderId="12" xfId="0" applyFill="1" applyBorder="1"/>
    <xf numFmtId="0" fontId="0" fillId="3" borderId="15" xfId="0" applyFill="1" applyBorder="1"/>
    <xf numFmtId="0" fontId="12" fillId="6" borderId="12" xfId="0" applyFont="1" applyFill="1" applyBorder="1"/>
    <xf numFmtId="0" fontId="12" fillId="6" borderId="11" xfId="0" applyFont="1" applyFill="1" applyBorder="1"/>
    <xf numFmtId="0" fontId="0" fillId="8" borderId="0" xfId="0" applyFill="1"/>
    <xf numFmtId="0" fontId="0" fillId="8" borderId="3" xfId="0" applyFill="1" applyBorder="1"/>
    <xf numFmtId="0" fontId="0" fillId="8" borderId="4" xfId="0" applyFill="1" applyBorder="1"/>
    <xf numFmtId="0" fontId="0" fillId="8" borderId="5" xfId="0" applyFill="1" applyBorder="1"/>
    <xf numFmtId="0" fontId="0" fillId="8" borderId="6" xfId="0" applyFill="1" applyBorder="1"/>
    <xf numFmtId="0" fontId="0" fillId="8" borderId="7" xfId="0" applyFill="1" applyBorder="1"/>
    <xf numFmtId="0" fontId="17" fillId="8" borderId="0" xfId="0" applyFont="1" applyFill="1" applyAlignment="1">
      <alignment vertical="center"/>
    </xf>
    <xf numFmtId="0" fontId="0" fillId="8" borderId="9" xfId="0" applyFill="1" applyBorder="1"/>
    <xf numFmtId="0" fontId="0" fillId="8" borderId="10" xfId="0" applyFill="1" applyBorder="1"/>
    <xf numFmtId="0" fontId="0" fillId="8" borderId="8" xfId="0" applyFill="1" applyBorder="1"/>
    <xf numFmtId="0" fontId="0" fillId="9" borderId="13" xfId="0" applyFill="1" applyBorder="1"/>
    <xf numFmtId="9" fontId="0" fillId="9" borderId="14" xfId="2" applyFont="1" applyFill="1" applyBorder="1"/>
    <xf numFmtId="0" fontId="12" fillId="11" borderId="12" xfId="0" applyFont="1" applyFill="1" applyBorder="1"/>
    <xf numFmtId="0" fontId="12" fillId="11" borderId="11" xfId="0" applyFont="1" applyFill="1" applyBorder="1"/>
    <xf numFmtId="0" fontId="0" fillId="12" borderId="12" xfId="0" applyFill="1" applyBorder="1"/>
    <xf numFmtId="0" fontId="0" fillId="12" borderId="15" xfId="0" applyFill="1" applyBorder="1"/>
    <xf numFmtId="0" fontId="12" fillId="4" borderId="12" xfId="0" applyFont="1" applyFill="1" applyBorder="1"/>
    <xf numFmtId="0" fontId="12" fillId="4" borderId="11" xfId="0" applyFont="1" applyFill="1" applyBorder="1"/>
    <xf numFmtId="0" fontId="0" fillId="3" borderId="2" xfId="0" applyFill="1" applyBorder="1"/>
    <xf numFmtId="0" fontId="12" fillId="11" borderId="0" xfId="0" applyFont="1" applyFill="1"/>
    <xf numFmtId="0" fontId="0" fillId="12" borderId="0" xfId="0" applyFill="1"/>
    <xf numFmtId="0" fontId="0" fillId="2" borderId="0" xfId="0" applyFill="1" applyAlignment="1">
      <alignment horizontal="left"/>
    </xf>
    <xf numFmtId="0" fontId="18" fillId="2" borderId="0" xfId="0" applyFont="1" applyFill="1" applyAlignment="1">
      <alignment vertic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vertical="center"/>
    </xf>
    <xf numFmtId="0" fontId="0" fillId="9" borderId="11" xfId="0" applyFill="1" applyBorder="1"/>
    <xf numFmtId="0" fontId="0" fillId="8" borderId="11" xfId="0" applyFill="1" applyBorder="1"/>
    <xf numFmtId="0" fontId="0" fillId="14" borderId="19" xfId="0" applyFill="1" applyBorder="1"/>
    <xf numFmtId="0" fontId="0" fillId="14" borderId="20" xfId="0" applyFill="1" applyBorder="1"/>
    <xf numFmtId="0" fontId="0" fillId="14" borderId="21" xfId="0" applyFill="1" applyBorder="1"/>
    <xf numFmtId="20" fontId="0" fillId="8" borderId="22" xfId="0" applyNumberFormat="1" applyFill="1" applyBorder="1"/>
    <xf numFmtId="0" fontId="0" fillId="8" borderId="23" xfId="0" applyFill="1" applyBorder="1"/>
    <xf numFmtId="0" fontId="0" fillId="8" borderId="22" xfId="0" applyFill="1" applyBorder="1"/>
    <xf numFmtId="0" fontId="0" fillId="8" borderId="24" xfId="0" applyFill="1" applyBorder="1"/>
    <xf numFmtId="0" fontId="0" fillId="8" borderId="25" xfId="0" applyFill="1" applyBorder="1"/>
    <xf numFmtId="0" fontId="0" fillId="8" borderId="26" xfId="0" applyFill="1" applyBorder="1"/>
    <xf numFmtId="0" fontId="17" fillId="8" borderId="0" xfId="0" applyFont="1" applyFill="1" applyAlignment="1">
      <alignment horizontal="center" vertical="center"/>
    </xf>
    <xf numFmtId="0" fontId="20" fillId="8" borderId="3" xfId="0" applyFont="1" applyFill="1" applyBorder="1" applyAlignment="1">
      <alignment horizontal="center" vertical="center"/>
    </xf>
    <xf numFmtId="0" fontId="20" fillId="8" borderId="4" xfId="0" applyFont="1" applyFill="1" applyBorder="1" applyAlignment="1">
      <alignment horizontal="center" vertical="center"/>
    </xf>
    <xf numFmtId="0" fontId="20" fillId="8" borderId="5" xfId="0" applyFont="1" applyFill="1" applyBorder="1" applyAlignment="1">
      <alignment horizontal="center" vertical="center"/>
    </xf>
    <xf numFmtId="0" fontId="20" fillId="8" borderId="6" xfId="0" applyFont="1" applyFill="1" applyBorder="1" applyAlignment="1">
      <alignment horizontal="center" vertical="center"/>
    </xf>
    <xf numFmtId="0" fontId="20" fillId="8" borderId="0" xfId="0" applyFont="1" applyFill="1" applyAlignment="1">
      <alignment horizontal="center" vertical="center"/>
    </xf>
    <xf numFmtId="0" fontId="20" fillId="8" borderId="7" xfId="0" applyFont="1" applyFill="1" applyBorder="1" applyAlignment="1">
      <alignment horizontal="center" vertical="center"/>
    </xf>
    <xf numFmtId="0" fontId="20" fillId="8" borderId="8" xfId="0" applyFont="1" applyFill="1" applyBorder="1" applyAlignment="1">
      <alignment horizontal="center" vertical="center"/>
    </xf>
    <xf numFmtId="0" fontId="20" fillId="8" borderId="9" xfId="0" applyFont="1" applyFill="1" applyBorder="1" applyAlignment="1">
      <alignment horizontal="center" vertical="center"/>
    </xf>
    <xf numFmtId="0" fontId="20" fillId="8" borderId="10" xfId="0" applyFont="1" applyFill="1" applyBorder="1" applyAlignment="1">
      <alignment horizontal="center" vertical="center"/>
    </xf>
    <xf numFmtId="0" fontId="13" fillId="11" borderId="17" xfId="0" applyFont="1" applyFill="1" applyBorder="1" applyAlignment="1">
      <alignment horizontal="center" vertical="center"/>
    </xf>
    <xf numFmtId="0" fontId="13" fillId="11" borderId="18" xfId="0" applyFont="1" applyFill="1" applyBorder="1" applyAlignment="1">
      <alignment horizontal="center" vertical="center"/>
    </xf>
    <xf numFmtId="0" fontId="19" fillId="10" borderId="0" xfId="0" applyFont="1" applyFill="1" applyAlignment="1">
      <alignment horizont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16" fillId="10" borderId="0" xfId="0" applyFont="1" applyFill="1" applyAlignment="1">
      <alignment horizontal="center"/>
    </xf>
    <xf numFmtId="49" fontId="5" fillId="0" borderId="0" xfId="0" applyNumberFormat="1" applyFont="1" applyAlignment="1">
      <alignment horizontal="center"/>
    </xf>
    <xf numFmtId="0" fontId="15" fillId="13" borderId="17" xfId="0" applyFont="1" applyFill="1" applyBorder="1" applyAlignment="1">
      <alignment horizontal="center" vertical="center"/>
    </xf>
    <xf numFmtId="0" fontId="15" fillId="13" borderId="18" xfId="0" applyFont="1" applyFill="1" applyBorder="1" applyAlignment="1">
      <alignment horizontal="center" vertical="center"/>
    </xf>
    <xf numFmtId="0" fontId="16" fillId="1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11" fillId="5" borderId="0" xfId="0" applyFont="1" applyFill="1" applyAlignment="1">
      <alignment horizontal="center"/>
    </xf>
    <xf numFmtId="0" fontId="0" fillId="7" borderId="12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15" xfId="0" applyFill="1" applyBorder="1" applyAlignment="1">
      <alignment horizontal="center"/>
    </xf>
    <xf numFmtId="0" fontId="14" fillId="7" borderId="17" xfId="0" applyFont="1" applyFill="1" applyBorder="1" applyAlignment="1">
      <alignment horizontal="center" vertical="center"/>
    </xf>
    <xf numFmtId="0" fontId="14" fillId="7" borderId="18" xfId="0" applyFont="1" applyFill="1" applyBorder="1" applyAlignment="1">
      <alignment horizontal="center" vertical="center"/>
    </xf>
    <xf numFmtId="0" fontId="14" fillId="7" borderId="3" xfId="0" applyFont="1" applyFill="1" applyBorder="1" applyAlignment="1">
      <alignment horizontal="center" vertical="center"/>
    </xf>
    <xf numFmtId="0" fontId="14" fillId="7" borderId="5" xfId="0" applyFont="1" applyFill="1" applyBorder="1" applyAlignment="1">
      <alignment horizontal="center" vertical="center"/>
    </xf>
    <xf numFmtId="0" fontId="14" fillId="7" borderId="8" xfId="0" applyFont="1" applyFill="1" applyBorder="1" applyAlignment="1">
      <alignment horizontal="center" vertical="center"/>
    </xf>
    <xf numFmtId="0" fontId="14" fillId="7" borderId="10" xfId="0" applyFont="1" applyFill="1" applyBorder="1" applyAlignment="1">
      <alignment horizontal="center" vertical="center"/>
    </xf>
    <xf numFmtId="0" fontId="0" fillId="7" borderId="16" xfId="0" applyFill="1" applyBorder="1" applyAlignment="1">
      <alignment horizontal="center"/>
    </xf>
    <xf numFmtId="0" fontId="0" fillId="7" borderId="0" xfId="0" applyFill="1" applyAlignment="1">
      <alignment horizontal="center"/>
    </xf>
    <xf numFmtId="14" fontId="0" fillId="2" borderId="0" xfId="0" applyNumberFormat="1" applyFill="1"/>
  </cellXfs>
  <cellStyles count="4">
    <cellStyle name="Hipervínculo" xfId="3" builtinId="8"/>
    <cellStyle name="Moneda" xfId="1" builtinId="4"/>
    <cellStyle name="Normal" xfId="0" builtinId="0"/>
    <cellStyle name="Porcentaje" xfId="2" builtinId="5"/>
  </cellStyles>
  <dxfs count="29">
    <dxf>
      <numFmt numFmtId="30" formatCode="@"/>
    </dxf>
    <dxf>
      <numFmt numFmtId="30" formatCode="@"/>
    </dxf>
    <dxf>
      <alignment horizontal="center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ookman Old Style"/>
        <family val="1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Bookman Old Style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ookman Old Style"/>
        <family val="1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Bookman Old Style"/>
        <family val="1"/>
        <scheme val="none"/>
      </font>
      <numFmt numFmtId="0" formatCode="General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Bookman Old Style"/>
        <family val="1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Bookman Old Style"/>
        <family val="1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doni MT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140567</xdr:colOff>
      <xdr:row>15</xdr:row>
      <xdr:rowOff>144318</xdr:rowOff>
    </xdr:from>
    <xdr:to>
      <xdr:col>11</xdr:col>
      <xdr:colOff>369744</xdr:colOff>
      <xdr:row>24</xdr:row>
      <xdr:rowOff>47914</xdr:rowOff>
    </xdr:to>
    <xdr:sp macro="" textlink="">
      <xdr:nvSpPr>
        <xdr:cNvPr id="15" name="Rectángulo: esquinas superiores redondeadas 14">
          <a:extLst>
            <a:ext uri="{FF2B5EF4-FFF2-40B4-BE49-F238E27FC236}">
              <a16:creationId xmlns:a16="http://schemas.microsoft.com/office/drawing/2014/main" id="{CEAC8408-500D-4584-B108-ED2927DCBD59}"/>
            </a:ext>
          </a:extLst>
        </xdr:cNvPr>
        <xdr:cNvSpPr/>
      </xdr:nvSpPr>
      <xdr:spPr>
        <a:xfrm>
          <a:off x="5552499" y="3037898"/>
          <a:ext cx="1758950" cy="1592118"/>
        </a:xfrm>
        <a:prstGeom prst="round2Same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l"/>
          <a:endParaRPr lang="es-EC" sz="1600"/>
        </a:p>
        <a:p>
          <a:pPr algn="l"/>
          <a:endParaRPr lang="es-EC" sz="1600"/>
        </a:p>
        <a:p>
          <a:pPr algn="l"/>
          <a:endParaRPr lang="es-EC" sz="1600"/>
        </a:p>
        <a:p>
          <a:pPr algn="l"/>
          <a:endParaRPr lang="es-EC" sz="1600"/>
        </a:p>
        <a:p>
          <a:pPr algn="ctr"/>
          <a:r>
            <a:rPr lang="es-EC" sz="1600"/>
            <a:t>Añadir</a:t>
          </a:r>
          <a:r>
            <a:rPr lang="es-EC" sz="1600" baseline="0"/>
            <a:t> Producto o Servicio</a:t>
          </a:r>
          <a:endParaRPr lang="es-EC" sz="1600"/>
        </a:p>
      </xdr:txBody>
    </xdr:sp>
    <xdr:clientData/>
  </xdr:twoCellAnchor>
  <xdr:twoCellAnchor>
    <xdr:from>
      <xdr:col>9</xdr:col>
      <xdr:colOff>140567</xdr:colOff>
      <xdr:row>5</xdr:row>
      <xdr:rowOff>8948</xdr:rowOff>
    </xdr:from>
    <xdr:to>
      <xdr:col>11</xdr:col>
      <xdr:colOff>369744</xdr:colOff>
      <xdr:row>13</xdr:row>
      <xdr:rowOff>100157</xdr:rowOff>
    </xdr:to>
    <xdr:sp macro="" textlink="">
      <xdr:nvSpPr>
        <xdr:cNvPr id="13" name="Rectángulo: esquinas superiores redondeadas 12">
          <a:extLst>
            <a:ext uri="{FF2B5EF4-FFF2-40B4-BE49-F238E27FC236}">
              <a16:creationId xmlns:a16="http://schemas.microsoft.com/office/drawing/2014/main" id="{8CDC7EDB-7E91-42CF-8647-C3FE76864C38}"/>
            </a:ext>
          </a:extLst>
        </xdr:cNvPr>
        <xdr:cNvSpPr/>
      </xdr:nvSpPr>
      <xdr:spPr>
        <a:xfrm>
          <a:off x="5552499" y="1026391"/>
          <a:ext cx="1758950" cy="1592118"/>
        </a:xfrm>
        <a:prstGeom prst="round2Same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l"/>
          <a:endParaRPr lang="es-EC" sz="1600"/>
        </a:p>
        <a:p>
          <a:pPr algn="l"/>
          <a:endParaRPr lang="es-EC" sz="1600"/>
        </a:p>
        <a:p>
          <a:pPr algn="l"/>
          <a:endParaRPr lang="es-EC" sz="1600"/>
        </a:p>
        <a:p>
          <a:pPr algn="l"/>
          <a:endParaRPr lang="es-EC" sz="1600"/>
        </a:p>
        <a:p>
          <a:pPr algn="ctr"/>
          <a:r>
            <a:rPr lang="es-EC" sz="1600"/>
            <a:t>Crear Proveedor</a:t>
          </a:r>
        </a:p>
      </xdr:txBody>
    </xdr:sp>
    <xdr:clientData/>
  </xdr:twoCellAnchor>
  <xdr:twoCellAnchor>
    <xdr:from>
      <xdr:col>6</xdr:col>
      <xdr:colOff>216477</xdr:colOff>
      <xdr:row>12</xdr:row>
      <xdr:rowOff>167697</xdr:rowOff>
    </xdr:from>
    <xdr:to>
      <xdr:col>8</xdr:col>
      <xdr:colOff>371764</xdr:colOff>
      <xdr:row>18</xdr:row>
      <xdr:rowOff>0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54D4834D-6C37-0BF6-5351-0CB670A9ACDD}"/>
            </a:ext>
          </a:extLst>
        </xdr:cNvPr>
        <xdr:cNvSpPr/>
      </xdr:nvSpPr>
      <xdr:spPr>
        <a:xfrm>
          <a:off x="3333750" y="2498436"/>
          <a:ext cx="1685059" cy="957984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EC" sz="2400"/>
            <a:t>Menu Principal</a:t>
          </a:r>
        </a:p>
      </xdr:txBody>
    </xdr:sp>
    <xdr:clientData/>
  </xdr:twoCellAnchor>
  <xdr:twoCellAnchor>
    <xdr:from>
      <xdr:col>4</xdr:col>
      <xdr:colOff>580533</xdr:colOff>
      <xdr:row>5</xdr:row>
      <xdr:rowOff>100157</xdr:rowOff>
    </xdr:from>
    <xdr:to>
      <xdr:col>5</xdr:col>
      <xdr:colOff>580533</xdr:colOff>
      <xdr:row>13</xdr:row>
      <xdr:rowOff>100157</xdr:rowOff>
    </xdr:to>
    <xdr:sp macro="" textlink="">
      <xdr:nvSpPr>
        <xdr:cNvPr id="4" name="Rectángulo: esquinas superiores redondeadas 3">
          <a:extLst>
            <a:ext uri="{FF2B5EF4-FFF2-40B4-BE49-F238E27FC236}">
              <a16:creationId xmlns:a16="http://schemas.microsoft.com/office/drawing/2014/main" id="{F9110A26-FDCC-7562-1307-1577AB173234}"/>
            </a:ext>
          </a:extLst>
        </xdr:cNvPr>
        <xdr:cNvSpPr/>
      </xdr:nvSpPr>
      <xdr:spPr>
        <a:xfrm>
          <a:off x="1345419" y="1117600"/>
          <a:ext cx="1587500" cy="1500909"/>
        </a:xfrm>
        <a:prstGeom prst="round2Same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l"/>
          <a:endParaRPr lang="es-EC" sz="1600"/>
        </a:p>
        <a:p>
          <a:pPr algn="l"/>
          <a:endParaRPr lang="es-EC" sz="1600"/>
        </a:p>
        <a:p>
          <a:pPr algn="l"/>
          <a:endParaRPr lang="es-EC" sz="1600"/>
        </a:p>
        <a:p>
          <a:pPr algn="l"/>
          <a:endParaRPr lang="es-EC" sz="1600"/>
        </a:p>
        <a:p>
          <a:pPr algn="ctr"/>
          <a:r>
            <a:rPr lang="es-EC" sz="1600"/>
            <a:t>Crear Cliente</a:t>
          </a:r>
        </a:p>
      </xdr:txBody>
    </xdr:sp>
    <xdr:clientData/>
  </xdr:twoCellAnchor>
  <xdr:twoCellAnchor editAs="oneCell">
    <xdr:from>
      <xdr:col>4</xdr:col>
      <xdr:colOff>951442</xdr:colOff>
      <xdr:row>6</xdr:row>
      <xdr:rowOff>55129</xdr:rowOff>
    </xdr:from>
    <xdr:to>
      <xdr:col>5</xdr:col>
      <xdr:colOff>261013</xdr:colOff>
      <xdr:row>11</xdr:row>
      <xdr:rowOff>83993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9D544E0-1607-AF52-C92B-6FE44633C9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9386" t="13059" r="17466" b="24865"/>
        <a:stretch>
          <a:fillRect/>
        </a:stretch>
      </xdr:blipFill>
      <xdr:spPr>
        <a:xfrm>
          <a:off x="1716328" y="1260186"/>
          <a:ext cx="897071" cy="966932"/>
        </a:xfrm>
        <a:prstGeom prst="rect">
          <a:avLst/>
        </a:prstGeom>
      </xdr:spPr>
    </xdr:pic>
    <xdr:clientData/>
  </xdr:twoCellAnchor>
  <xdr:twoCellAnchor editAs="oneCell">
    <xdr:from>
      <xdr:col>9</xdr:col>
      <xdr:colOff>449365</xdr:colOff>
      <xdr:row>5</xdr:row>
      <xdr:rowOff>171408</xdr:rowOff>
    </xdr:from>
    <xdr:to>
      <xdr:col>11</xdr:col>
      <xdr:colOff>85781</xdr:colOff>
      <xdr:row>12</xdr:row>
      <xdr:rowOff>0</xdr:rowOff>
    </xdr:to>
    <xdr:pic>
      <xdr:nvPicPr>
        <xdr:cNvPr id="7" name="Imagen 6" descr="Vector De Icono De Línea De Proveedor | Elementos graficos Plantilla AI Descarga Gratuita - Pikbest">
          <a:extLst>
            <a:ext uri="{FF2B5EF4-FFF2-40B4-BE49-F238E27FC236}">
              <a16:creationId xmlns:a16="http://schemas.microsoft.com/office/drawing/2014/main" id="{85DDE72B-F947-9673-7ABB-5584E4A413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1297" y="1188851"/>
          <a:ext cx="1166188" cy="1141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627426</xdr:colOff>
      <xdr:row>16</xdr:row>
      <xdr:rowOff>101022</xdr:rowOff>
    </xdr:from>
    <xdr:to>
      <xdr:col>11</xdr:col>
      <xdr:colOff>1</xdr:colOff>
      <xdr:row>21</xdr:row>
      <xdr:rowOff>28864</xdr:rowOff>
    </xdr:to>
    <xdr:pic>
      <xdr:nvPicPr>
        <xdr:cNvPr id="9" name="Imagen 8" descr="871 mil resultados de imágenes, fotos de stock e ilustraciones libres de regalías para Lista de precios | Shutterstock">
          <a:extLst>
            <a:ext uri="{FF2B5EF4-FFF2-40B4-BE49-F238E27FC236}">
              <a16:creationId xmlns:a16="http://schemas.microsoft.com/office/drawing/2014/main" id="{CB0F231C-AF5E-072A-F214-FF7FC97A4E3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88" t="11134" r="55132" b="17609"/>
        <a:stretch>
          <a:fillRect/>
        </a:stretch>
      </xdr:blipFill>
      <xdr:spPr bwMode="auto">
        <a:xfrm>
          <a:off x="6039358" y="3182215"/>
          <a:ext cx="902347" cy="8659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530356</xdr:colOff>
      <xdr:row>0</xdr:row>
      <xdr:rowOff>149470</xdr:rowOff>
    </xdr:from>
    <xdr:to>
      <xdr:col>5</xdr:col>
      <xdr:colOff>0</xdr:colOff>
      <xdr:row>4</xdr:row>
      <xdr:rowOff>158749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467ECC71-5B8B-43B4-BE34-E83D5C0D05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9437" t="15362" r="9284" b="24058"/>
        <a:stretch/>
      </xdr:blipFill>
      <xdr:spPr>
        <a:xfrm>
          <a:off x="1292356" y="149470"/>
          <a:ext cx="1057144" cy="826842"/>
        </a:xfrm>
        <a:prstGeom prst="rect">
          <a:avLst/>
        </a:prstGeom>
      </xdr:spPr>
    </xdr:pic>
    <xdr:clientData/>
  </xdr:twoCellAnchor>
  <xdr:twoCellAnchor>
    <xdr:from>
      <xdr:col>4</xdr:col>
      <xdr:colOff>580533</xdr:colOff>
      <xdr:row>16</xdr:row>
      <xdr:rowOff>14431</xdr:rowOff>
    </xdr:from>
    <xdr:to>
      <xdr:col>5</xdr:col>
      <xdr:colOff>580533</xdr:colOff>
      <xdr:row>24</xdr:row>
      <xdr:rowOff>14431</xdr:rowOff>
    </xdr:to>
    <xdr:sp macro="" textlink="">
      <xdr:nvSpPr>
        <xdr:cNvPr id="14" name="Rectángulo: esquinas superiores redondeadas 13">
          <a:extLst>
            <a:ext uri="{FF2B5EF4-FFF2-40B4-BE49-F238E27FC236}">
              <a16:creationId xmlns:a16="http://schemas.microsoft.com/office/drawing/2014/main" id="{B5AEF0AB-A5E8-40A6-897D-FEF52BBAA2CB}"/>
            </a:ext>
          </a:extLst>
        </xdr:cNvPr>
        <xdr:cNvSpPr/>
      </xdr:nvSpPr>
      <xdr:spPr>
        <a:xfrm>
          <a:off x="1345419" y="3095624"/>
          <a:ext cx="1587500" cy="1500909"/>
        </a:xfrm>
        <a:prstGeom prst="round2Same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l"/>
          <a:endParaRPr lang="es-EC" sz="1600"/>
        </a:p>
        <a:p>
          <a:pPr algn="l"/>
          <a:endParaRPr lang="es-EC" sz="1600"/>
        </a:p>
        <a:p>
          <a:pPr algn="l"/>
          <a:endParaRPr lang="es-EC" sz="1600"/>
        </a:p>
        <a:p>
          <a:pPr algn="l"/>
          <a:endParaRPr lang="es-EC" sz="1600"/>
        </a:p>
        <a:p>
          <a:pPr algn="ctr"/>
          <a:r>
            <a:rPr lang="es-EC" sz="1600"/>
            <a:t>Crear Factura</a:t>
          </a:r>
        </a:p>
      </xdr:txBody>
    </xdr:sp>
    <xdr:clientData/>
  </xdr:twoCellAnchor>
  <xdr:twoCellAnchor editAs="oneCell">
    <xdr:from>
      <xdr:col>4</xdr:col>
      <xdr:colOff>689106</xdr:colOff>
      <xdr:row>16</xdr:row>
      <xdr:rowOff>187613</xdr:rowOff>
    </xdr:from>
    <xdr:to>
      <xdr:col>5</xdr:col>
      <xdr:colOff>461564</xdr:colOff>
      <xdr:row>22</xdr:row>
      <xdr:rowOff>0</xdr:rowOff>
    </xdr:to>
    <xdr:pic>
      <xdr:nvPicPr>
        <xdr:cNvPr id="11" name="Imagen 10" descr="1.500+ Bloc De Facturas Ilustraciones de Stock, gráficos vectoriales libres de derechos y clip art - iStock">
          <a:extLst>
            <a:ext uri="{FF2B5EF4-FFF2-40B4-BE49-F238E27FC236}">
              <a16:creationId xmlns:a16="http://schemas.microsoft.com/office/drawing/2014/main" id="{D6E7B2B6-3C2A-5D37-5B4E-E389604C666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727" r="16558" b="20779"/>
        <a:stretch>
          <a:fillRect/>
        </a:stretch>
      </xdr:blipFill>
      <xdr:spPr bwMode="auto">
        <a:xfrm>
          <a:off x="1453992" y="3268806"/>
          <a:ext cx="1359958" cy="9380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309458</xdr:colOff>
      <xdr:row>18</xdr:row>
      <xdr:rowOff>146074</xdr:rowOff>
    </xdr:from>
    <xdr:to>
      <xdr:col>8</xdr:col>
      <xdr:colOff>538634</xdr:colOff>
      <xdr:row>27</xdr:row>
      <xdr:rowOff>49670</xdr:rowOff>
    </xdr:to>
    <xdr:sp macro="" textlink="">
      <xdr:nvSpPr>
        <xdr:cNvPr id="2" name="Rectángulo: esquinas superiores redondeadas 1">
          <a:extLst>
            <a:ext uri="{FF2B5EF4-FFF2-40B4-BE49-F238E27FC236}">
              <a16:creationId xmlns:a16="http://schemas.microsoft.com/office/drawing/2014/main" id="{A96AFA47-B9E2-419D-B57D-05FB72BFD1CB}"/>
            </a:ext>
          </a:extLst>
        </xdr:cNvPr>
        <xdr:cNvSpPr/>
      </xdr:nvSpPr>
      <xdr:spPr>
        <a:xfrm>
          <a:off x="5715539" y="3475533"/>
          <a:ext cx="1756609" cy="1525421"/>
        </a:xfrm>
        <a:prstGeom prst="round2Same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l"/>
          <a:endParaRPr lang="es-EC" sz="1600"/>
        </a:p>
        <a:p>
          <a:pPr algn="l"/>
          <a:endParaRPr lang="es-EC" sz="1600"/>
        </a:p>
        <a:p>
          <a:pPr algn="l"/>
          <a:endParaRPr lang="es-EC" sz="1600"/>
        </a:p>
        <a:p>
          <a:pPr algn="l"/>
          <a:endParaRPr lang="es-EC" sz="1600"/>
        </a:p>
        <a:p>
          <a:pPr algn="ctr"/>
          <a:r>
            <a:rPr lang="es-EC" sz="1600"/>
            <a:t>Agendar</a:t>
          </a:r>
          <a:r>
            <a:rPr lang="es-EC" sz="1600" baseline="0"/>
            <a:t> cita</a:t>
          </a:r>
          <a:endParaRPr lang="es-EC" sz="1600"/>
        </a:p>
      </xdr:txBody>
    </xdr:sp>
    <xdr:clientData/>
  </xdr:twoCellAnchor>
  <xdr:twoCellAnchor>
    <xdr:from>
      <xdr:col>6</xdr:col>
      <xdr:colOff>281657</xdr:colOff>
      <xdr:row>3</xdr:row>
      <xdr:rowOff>118270</xdr:rowOff>
    </xdr:from>
    <xdr:to>
      <xdr:col>8</xdr:col>
      <xdr:colOff>510833</xdr:colOff>
      <xdr:row>12</xdr:row>
      <xdr:rowOff>21867</xdr:rowOff>
    </xdr:to>
    <xdr:sp macro="" textlink="">
      <xdr:nvSpPr>
        <xdr:cNvPr id="6" name="Rectángulo: esquinas superiores redondeadas 5">
          <a:extLst>
            <a:ext uri="{FF2B5EF4-FFF2-40B4-BE49-F238E27FC236}">
              <a16:creationId xmlns:a16="http://schemas.microsoft.com/office/drawing/2014/main" id="{82D72525-2F31-4D25-906C-FB3780ADFFE9}"/>
            </a:ext>
          </a:extLst>
        </xdr:cNvPr>
        <xdr:cNvSpPr/>
      </xdr:nvSpPr>
      <xdr:spPr>
        <a:xfrm>
          <a:off x="5687738" y="744689"/>
          <a:ext cx="1756609" cy="1525421"/>
        </a:xfrm>
        <a:prstGeom prst="round2Same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l"/>
          <a:endParaRPr lang="es-EC" sz="1600"/>
        </a:p>
        <a:p>
          <a:pPr algn="l"/>
          <a:endParaRPr lang="es-EC" sz="1600"/>
        </a:p>
        <a:p>
          <a:pPr algn="l"/>
          <a:endParaRPr lang="es-EC" sz="1600"/>
        </a:p>
        <a:p>
          <a:pPr algn="ctr"/>
          <a:r>
            <a:rPr lang="es-EC" sz="1600"/>
            <a:t>Citas</a:t>
          </a:r>
          <a:r>
            <a:rPr lang="es-EC" sz="1600" baseline="0"/>
            <a:t> diarias programadas</a:t>
          </a:r>
          <a:endParaRPr lang="es-EC" sz="1600"/>
        </a:p>
      </xdr:txBody>
    </xdr:sp>
    <xdr:clientData/>
  </xdr:twoCellAnchor>
  <xdr:twoCellAnchor editAs="oneCell">
    <xdr:from>
      <xdr:col>6</xdr:col>
      <xdr:colOff>712229</xdr:colOff>
      <xdr:row>19</xdr:row>
      <xdr:rowOff>154459</xdr:rowOff>
    </xdr:from>
    <xdr:to>
      <xdr:col>8</xdr:col>
      <xdr:colOff>94391</xdr:colOff>
      <xdr:row>24</xdr:row>
      <xdr:rowOff>171620</xdr:rowOff>
    </xdr:to>
    <xdr:pic>
      <xdr:nvPicPr>
        <xdr:cNvPr id="8" name="Imagen 7" descr="agenda vector sólido icono diseño ilustración. hora administración símbolo en blanco antecedentes eps 10 archivo 24028646 Vector en Vecteezy">
          <a:extLst>
            <a:ext uri="{FF2B5EF4-FFF2-40B4-BE49-F238E27FC236}">
              <a16:creationId xmlns:a16="http://schemas.microsoft.com/office/drawing/2014/main" id="{5B74D093-F24D-2FC8-6F70-DD79D9918DA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851" r="10680" b="22071"/>
        <a:stretch>
          <a:fillRect/>
        </a:stretch>
      </xdr:blipFill>
      <xdr:spPr bwMode="auto">
        <a:xfrm>
          <a:off x="6118310" y="3664121"/>
          <a:ext cx="909595" cy="91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</xdr:colOff>
      <xdr:row>3</xdr:row>
      <xdr:rowOff>178707</xdr:rowOff>
    </xdr:from>
    <xdr:to>
      <xdr:col>8</xdr:col>
      <xdr:colOff>163041</xdr:colOff>
      <xdr:row>9</xdr:row>
      <xdr:rowOff>13473</xdr:rowOff>
    </xdr:to>
    <xdr:pic>
      <xdr:nvPicPr>
        <xdr:cNvPr id="10" name="Imagen 9" descr="469.000+ Agenda Ilustraciones de Stock, gráficos vectoriales libres de derechos y clip art - iStock">
          <a:extLst>
            <a:ext uri="{FF2B5EF4-FFF2-40B4-BE49-F238E27FC236}">
              <a16:creationId xmlns:a16="http://schemas.microsoft.com/office/drawing/2014/main" id="{1797803D-B216-4023-EA24-08106E97A22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45" t="12513" r="54754" b="13286"/>
        <a:stretch>
          <a:fillRect/>
        </a:stretch>
      </xdr:blipFill>
      <xdr:spPr bwMode="auto">
        <a:xfrm>
          <a:off x="6169798" y="805126"/>
          <a:ext cx="926757" cy="9159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400049</xdr:colOff>
      <xdr:row>2</xdr:row>
      <xdr:rowOff>63500</xdr:rowOff>
    </xdr:from>
    <xdr:to>
      <xdr:col>6</xdr:col>
      <xdr:colOff>1041400</xdr:colOff>
      <xdr:row>6</xdr:row>
      <xdr:rowOff>115085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89C6514-4E72-B0BC-A68D-77AA737CB5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9437" t="15362" r="9284" b="24058"/>
        <a:stretch/>
      </xdr:blipFill>
      <xdr:spPr>
        <a:xfrm>
          <a:off x="3543299" y="63500"/>
          <a:ext cx="1428751" cy="111838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C00111-3D57-4CCA-AAC9-423164940412}" name="Tabla1" displayName="Tabla1" ref="A1:E58" totalsRowShown="0" headerRowDxfId="28" dataDxfId="27">
  <autoFilter ref="A1:E58" xr:uid="{91C00111-3D57-4CCA-AAC9-423164940412}"/>
  <tableColumns count="5">
    <tableColumn id="1" xr3:uid="{39CF055C-6203-4E60-A39F-477E7B108B15}" name="FECHA" dataDxfId="26"/>
    <tableColumn id="2" xr3:uid="{D1FDCB89-07BE-45BB-82BB-9B6725830590}" name="HORA " dataDxfId="25"/>
    <tableColumn id="3" xr3:uid="{861EC1A6-E285-418D-B2D8-BEFBE46CCD9F}" name="PACIENTE" dataDxfId="24"/>
    <tableColumn id="4" xr3:uid="{CBC1AAF1-B22D-4632-98D4-DC6BC545C44A}" name="CONSULTA / SERVICIO" dataDxfId="23"/>
    <tableColumn id="5" xr3:uid="{ACF1A8D0-8064-4808-90C9-B1D45EE34D51}" name="CONTACTO" dataDxfId="22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709D95A-2F81-48F6-9E53-E6FC4E714F30}" name="factura" displayName="factura" ref="C15:G25" totalsRowShown="0" headerRowDxfId="21" dataDxfId="20">
  <autoFilter ref="C15:G25" xr:uid="{6709D95A-2F81-48F6-9E53-E6FC4E714F30}"/>
  <tableColumns count="5">
    <tableColumn id="1" xr3:uid="{5389A49D-B2BD-4433-BFCA-CE488AE8E797}" name="Codigo" dataDxfId="19"/>
    <tableColumn id="2" xr3:uid="{72BBC78A-10E2-4CB4-AEC7-9E19106CBF8A}" name="Detalle" dataDxfId="18">
      <calculatedColumnFormula>IFERROR(VLOOKUP(factura[[#This Row],[Codigo]],Servicios_Vet[],2,FALSE),"")</calculatedColumnFormula>
    </tableColumn>
    <tableColumn id="3" xr3:uid="{080B5D02-5895-4073-B46C-9876958E402A}" name="Precio Unit" dataDxfId="17" dataCellStyle="Moneda">
      <calculatedColumnFormula>IFERROR(VLOOKUP(factura[[#This Row],[Codigo]],Servicios_Vet[],3,FALSE),"")</calculatedColumnFormula>
    </tableColumn>
    <tableColumn id="4" xr3:uid="{E5448962-5D7B-4C80-BA5C-1A324AC3BAD5}" name="Cant." dataDxfId="16"/>
    <tableColumn id="5" xr3:uid="{A561AD75-B839-4E82-BD88-D775A2BAAAD5}" name="Total" dataDxfId="15" dataCellStyle="Moneda">
      <calculatedColumnFormula>IFERROR(factura[[#This Row],[Precio Unit]]*factura[[#This Row],[Cant.]]," ")</calculatedColumnFormula>
    </tableColumn>
  </tableColumns>
  <tableStyleInfo name="TableStyleLight2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B9C92E2-FF0F-484E-8231-ABA5BBE5819E}" name="Clientes" displayName="Clientes" ref="A2:E12" totalsRowShown="0" headerRowDxfId="14">
  <autoFilter ref="A2:E12" xr:uid="{9B9C92E2-FF0F-484E-8231-ABA5BBE5819E}"/>
  <tableColumns count="5">
    <tableColumn id="2" xr3:uid="{E6D07DE4-9B6C-47B2-B9E7-A0AE8AFE8584}" name="Cedula" dataDxfId="13"/>
    <tableColumn id="1" xr3:uid="{441C18B8-5AEE-46B8-8C2A-4AC9E9E4FC85}" name="Nombres" dataDxfId="12"/>
    <tableColumn id="3" xr3:uid="{774686EC-60F7-4F22-843C-A61B0CB0DEA6}" name="Telefono" dataDxfId="11"/>
    <tableColumn id="4" xr3:uid="{4468BFD3-A771-4181-B23A-FF2EB8B476AA}" name="Direccion" dataDxfId="10"/>
    <tableColumn id="5" xr3:uid="{37F7BB74-28E8-4BFC-8B0E-4E9DC9670661}" name="correo electronico" dataDxfId="9" dataCellStyle="Hipervínculo"/>
  </tableColumns>
  <tableStyleInfo name="TableStyleLight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CF7F707-E3DE-4EF9-AFAB-1F6C2488AA35}" name="Proveedores" displayName="Proveedores" ref="A2:D9" totalsRowShown="0" headerRowDxfId="8" dataDxfId="7">
  <autoFilter ref="A2:D9" xr:uid="{8CF7F707-E3DE-4EF9-AFAB-1F6C2488AA35}"/>
  <tableColumns count="4">
    <tableColumn id="1" xr3:uid="{7F365C2A-B46D-4DFA-8C20-CE8F7C8F09EE}" name="Nombre" dataDxfId="6"/>
    <tableColumn id="2" xr3:uid="{CBF9F121-CFD7-445F-99E7-98001E0BF7AC}" name="Telefono" dataDxfId="5"/>
    <tableColumn id="3" xr3:uid="{46791C53-B4E9-4A1B-99FB-1BB17B9707F8}" name="Ruc" dataDxfId="4"/>
    <tableColumn id="4" xr3:uid="{4B3F9DB8-C5F9-4D8B-8FD0-6A7668E4E990}" name="Descripcion_Proveedor" dataDxfId="3"/>
  </tableColumns>
  <tableStyleInfo name="TableStyleLight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E53B18-C482-4919-9B9C-36CA1D660AD9}" name="Servicios_Vet" displayName="Servicios_Vet" ref="A2:E14" totalsRowShown="0" headerRowDxfId="2">
  <autoFilter ref="A2:E14" xr:uid="{82E53B18-C482-4919-9B9C-36CA1D660AD9}"/>
  <tableColumns count="5">
    <tableColumn id="1" xr3:uid="{3050F31C-5572-42F5-98F3-BA6003A430A0}" name="Codigo" dataDxfId="1"/>
    <tableColumn id="2" xr3:uid="{2013AF36-48BB-4590-820B-E6973EF5027C}" name="Servicio" dataDxfId="0"/>
    <tableColumn id="3" xr3:uid="{47F670A4-0E3D-4029-877A-CB8C36149E0F}" name="Costo" dataCellStyle="Moneda"/>
    <tableColumn id="4" xr3:uid="{03DA183E-9B82-459C-8D2A-4EE1F8C1FFFD}" name="PVP" dataCellStyle="Moneda">
      <calculatedColumnFormula>Servicios_Vet[[#This Row],[Costo]]-(Servicios_Vet[[#This Row],[Costo]]*Servicios_Vet[[#This Row],[Descuento]])</calculatedColumnFormula>
    </tableColumn>
    <tableColumn id="5" xr3:uid="{82B34A0C-74AC-402F-AFA4-F1F47A41612D}" name="Descuento" dataCellStyle="Porcentaje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laluna@hotmail.com" TargetMode="External"/><Relationship Id="rId3" Type="http://schemas.openxmlformats.org/officeDocument/2006/relationships/hyperlink" Target="mailto:lachiquita@hotmail.com" TargetMode="External"/><Relationship Id="rId7" Type="http://schemas.openxmlformats.org/officeDocument/2006/relationships/hyperlink" Target="mailto:ellider@gmail.com" TargetMode="External"/><Relationship Id="rId2" Type="http://schemas.openxmlformats.org/officeDocument/2006/relationships/hyperlink" Target="mailto:riveras@gmail.com" TargetMode="External"/><Relationship Id="rId1" Type="http://schemas.openxmlformats.org/officeDocument/2006/relationships/hyperlink" Target="mailto:jperez@gmail.com" TargetMode="External"/><Relationship Id="rId6" Type="http://schemas.openxmlformats.org/officeDocument/2006/relationships/hyperlink" Target="mailto:picolin@hotmail.com" TargetMode="External"/><Relationship Id="rId11" Type="http://schemas.openxmlformats.org/officeDocument/2006/relationships/table" Target="../tables/table3.xml"/><Relationship Id="rId5" Type="http://schemas.openxmlformats.org/officeDocument/2006/relationships/hyperlink" Target="mailto:holdchq@hotmail.es" TargetMode="External"/><Relationship Id="rId10" Type="http://schemas.openxmlformats.org/officeDocument/2006/relationships/hyperlink" Target="mailto:Rbeltram@hotmail.com" TargetMode="External"/><Relationship Id="rId4" Type="http://schemas.openxmlformats.org/officeDocument/2006/relationships/hyperlink" Target="mailto:valleft@hotmail.com" TargetMode="External"/><Relationship Id="rId9" Type="http://schemas.openxmlformats.org/officeDocument/2006/relationships/hyperlink" Target="mailto:TCruz@hotmail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8CAAC-1786-4556-8517-DE778D99C9C9}">
  <dimension ref="A1:U30"/>
  <sheetViews>
    <sheetView zoomScale="74" workbookViewId="0">
      <selection activeCell="N15" sqref="N15"/>
    </sheetView>
  </sheetViews>
  <sheetFormatPr baseColWidth="10" defaultRowHeight="14.5" x14ac:dyDescent="0.35"/>
  <cols>
    <col min="5" max="5" width="22.7265625" customWidth="1"/>
  </cols>
  <sheetData>
    <row r="1" spans="1:21" x14ac:dyDescent="0.35">
      <c r="A1" s="44"/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6"/>
    </row>
    <row r="2" spans="1:21" ht="14.5" customHeight="1" x14ac:dyDescent="0.35">
      <c r="A2" s="47"/>
      <c r="B2" s="43"/>
      <c r="C2" s="43"/>
      <c r="D2" s="43"/>
      <c r="E2" s="43"/>
      <c r="F2" s="79" t="s">
        <v>142</v>
      </c>
      <c r="G2" s="79"/>
      <c r="H2" s="79"/>
      <c r="I2" s="79"/>
      <c r="J2" s="79"/>
      <c r="K2" s="79"/>
      <c r="L2" s="79"/>
      <c r="M2" s="43"/>
      <c r="N2" s="43"/>
      <c r="O2" s="43"/>
      <c r="P2" s="43"/>
      <c r="Q2" s="43"/>
      <c r="R2" s="43"/>
      <c r="S2" s="43"/>
      <c r="T2" s="43"/>
      <c r="U2" s="48"/>
    </row>
    <row r="3" spans="1:21" ht="21" customHeight="1" x14ac:dyDescent="0.35">
      <c r="A3" s="47"/>
      <c r="B3" s="43"/>
      <c r="C3" s="43"/>
      <c r="D3" s="43"/>
      <c r="E3" s="49"/>
      <c r="F3" s="79"/>
      <c r="G3" s="79"/>
      <c r="H3" s="79"/>
      <c r="I3" s="79"/>
      <c r="J3" s="79"/>
      <c r="K3" s="79"/>
      <c r="L3" s="79"/>
      <c r="M3" s="43"/>
      <c r="N3" s="43"/>
      <c r="O3" s="43"/>
      <c r="P3" s="43"/>
      <c r="Q3" s="43"/>
      <c r="R3" s="43"/>
      <c r="S3" s="43"/>
      <c r="T3" s="43"/>
      <c r="U3" s="48"/>
    </row>
    <row r="4" spans="1:21" ht="14.5" customHeight="1" x14ac:dyDescent="0.35">
      <c r="A4" s="47"/>
      <c r="B4" s="43"/>
      <c r="C4" s="43"/>
      <c r="D4" s="43"/>
      <c r="E4" s="49"/>
      <c r="F4" s="79"/>
      <c r="G4" s="79"/>
      <c r="H4" s="79"/>
      <c r="I4" s="79"/>
      <c r="J4" s="79"/>
      <c r="K4" s="79"/>
      <c r="L4" s="79"/>
      <c r="M4" s="43"/>
      <c r="N4" s="43"/>
      <c r="O4" s="43"/>
      <c r="P4" s="43"/>
      <c r="Q4" s="43"/>
      <c r="R4" s="43"/>
      <c r="S4" s="43"/>
      <c r="T4" s="43"/>
      <c r="U4" s="48"/>
    </row>
    <row r="5" spans="1:21" x14ac:dyDescent="0.35">
      <c r="A5" s="47"/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8"/>
    </row>
    <row r="6" spans="1:21" x14ac:dyDescent="0.35">
      <c r="A6" s="47"/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8"/>
    </row>
    <row r="7" spans="1:21" x14ac:dyDescent="0.35">
      <c r="A7" s="47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8"/>
    </row>
    <row r="8" spans="1:21" x14ac:dyDescent="0.35">
      <c r="A8" s="47"/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8"/>
    </row>
    <row r="9" spans="1:21" x14ac:dyDescent="0.35">
      <c r="A9" s="47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8"/>
    </row>
    <row r="10" spans="1:21" x14ac:dyDescent="0.35">
      <c r="A10" s="47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8"/>
    </row>
    <row r="11" spans="1:21" x14ac:dyDescent="0.35">
      <c r="A11" s="47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8"/>
    </row>
    <row r="12" spans="1:21" x14ac:dyDescent="0.35">
      <c r="A12" s="47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8"/>
    </row>
    <row r="13" spans="1:21" x14ac:dyDescent="0.35">
      <c r="A13" s="47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8"/>
    </row>
    <row r="14" spans="1:21" x14ac:dyDescent="0.35">
      <c r="A14" s="47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8"/>
    </row>
    <row r="15" spans="1:21" x14ac:dyDescent="0.35">
      <c r="A15" s="47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8"/>
    </row>
    <row r="16" spans="1:21" x14ac:dyDescent="0.35">
      <c r="A16" s="47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8"/>
    </row>
    <row r="17" spans="1:21" x14ac:dyDescent="0.35">
      <c r="A17" s="47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8"/>
    </row>
    <row r="18" spans="1:21" x14ac:dyDescent="0.35">
      <c r="A18" s="47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8"/>
    </row>
    <row r="19" spans="1:21" x14ac:dyDescent="0.35">
      <c r="A19" s="47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8"/>
    </row>
    <row r="20" spans="1:21" x14ac:dyDescent="0.35">
      <c r="A20" s="47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8"/>
    </row>
    <row r="21" spans="1:21" x14ac:dyDescent="0.35">
      <c r="A21" s="47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8"/>
    </row>
    <row r="22" spans="1:21" x14ac:dyDescent="0.35">
      <c r="A22" s="47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8"/>
    </row>
    <row r="23" spans="1:21" x14ac:dyDescent="0.35">
      <c r="A23" s="47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8"/>
    </row>
    <row r="24" spans="1:21" x14ac:dyDescent="0.35">
      <c r="A24" s="47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8"/>
    </row>
    <row r="25" spans="1:21" x14ac:dyDescent="0.35">
      <c r="A25" s="47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8"/>
    </row>
    <row r="26" spans="1:21" x14ac:dyDescent="0.35">
      <c r="A26" s="47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8"/>
    </row>
    <row r="27" spans="1:21" x14ac:dyDescent="0.35">
      <c r="A27" s="47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8"/>
    </row>
    <row r="28" spans="1:21" x14ac:dyDescent="0.35">
      <c r="A28" s="47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8"/>
    </row>
    <row r="29" spans="1:21" ht="15" thickBot="1" x14ac:dyDescent="0.4">
      <c r="A29" s="52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1"/>
    </row>
    <row r="30" spans="1:21" x14ac:dyDescent="0.35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</row>
  </sheetData>
  <mergeCells count="1">
    <mergeCell ref="F2:L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4D1DF-FD9A-427C-B043-7ED5583A7DE4}">
  <dimension ref="A1:N21"/>
  <sheetViews>
    <sheetView tabSelected="1" workbookViewId="0">
      <selection activeCell="B10" sqref="B10"/>
    </sheetView>
  </sheetViews>
  <sheetFormatPr baseColWidth="10" defaultRowHeight="14.5" x14ac:dyDescent="0.35"/>
  <cols>
    <col min="11" max="11" width="15.453125" customWidth="1"/>
    <col min="12" max="12" width="19.1796875" bestFit="1" customWidth="1"/>
  </cols>
  <sheetData>
    <row r="1" spans="1:14" x14ac:dyDescent="0.3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1:14" ht="15" thickBot="1" x14ac:dyDescent="0.4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  <row r="3" spans="1:14" x14ac:dyDescent="0.35">
      <c r="A3" s="15"/>
      <c r="B3" s="80" t="s">
        <v>183</v>
      </c>
      <c r="C3" s="81"/>
      <c r="D3" s="81"/>
      <c r="E3" s="81"/>
      <c r="F3" s="81"/>
      <c r="G3" s="81"/>
      <c r="H3" s="82"/>
      <c r="I3" s="15"/>
      <c r="J3" s="15"/>
      <c r="K3" s="15"/>
      <c r="L3" s="15"/>
      <c r="M3" s="15"/>
      <c r="N3" s="15"/>
    </row>
    <row r="4" spans="1:14" x14ac:dyDescent="0.35">
      <c r="A4" s="15"/>
      <c r="B4" s="83"/>
      <c r="C4" s="84"/>
      <c r="D4" s="84"/>
      <c r="E4" s="84"/>
      <c r="F4" s="84"/>
      <c r="G4" s="84"/>
      <c r="H4" s="85"/>
      <c r="I4" s="15"/>
      <c r="J4" s="15"/>
      <c r="K4" s="15"/>
      <c r="L4" s="15"/>
      <c r="M4" s="15"/>
      <c r="N4" s="15"/>
    </row>
    <row r="5" spans="1:14" ht="15" thickBot="1" x14ac:dyDescent="0.4">
      <c r="A5" s="15"/>
      <c r="B5" s="86"/>
      <c r="C5" s="87"/>
      <c r="D5" s="87"/>
      <c r="E5" s="87"/>
      <c r="F5" s="87"/>
      <c r="G5" s="87"/>
      <c r="H5" s="88"/>
      <c r="I5" s="15"/>
      <c r="J5" s="15"/>
      <c r="K5" s="15"/>
      <c r="L5" s="15"/>
      <c r="M5" s="15"/>
      <c r="N5" s="15"/>
    </row>
    <row r="6" spans="1:14" x14ac:dyDescent="0.35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</row>
    <row r="7" spans="1:14" x14ac:dyDescent="0.35">
      <c r="A7" s="15"/>
      <c r="B7" s="68" t="s">
        <v>155</v>
      </c>
      <c r="C7" s="69">
        <v>2026</v>
      </c>
      <c r="D7" s="15"/>
      <c r="E7" s="15"/>
      <c r="F7" s="15"/>
      <c r="G7" s="15"/>
      <c r="H7" s="15"/>
      <c r="I7" s="15"/>
      <c r="J7" s="15"/>
      <c r="K7" s="115"/>
      <c r="L7" s="15"/>
      <c r="M7" s="15"/>
      <c r="N7" s="15"/>
    </row>
    <row r="8" spans="1:14" x14ac:dyDescent="0.35">
      <c r="A8" s="15"/>
      <c r="B8" s="68" t="s">
        <v>156</v>
      </c>
      <c r="C8" s="69" t="s">
        <v>157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</row>
    <row r="9" spans="1:14" ht="15" thickBot="1" x14ac:dyDescent="0.4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</row>
    <row r="10" spans="1:14" x14ac:dyDescent="0.35">
      <c r="A10" s="15"/>
      <c r="B10" t="s">
        <v>158</v>
      </c>
      <c r="D10" s="15"/>
      <c r="E10" s="15"/>
      <c r="F10" s="15"/>
      <c r="G10" s="15"/>
      <c r="H10" s="15"/>
      <c r="I10" s="15"/>
      <c r="J10" s="70" t="s">
        <v>159</v>
      </c>
      <c r="K10" s="71" t="s">
        <v>160</v>
      </c>
      <c r="L10" s="71" t="s">
        <v>171</v>
      </c>
      <c r="M10" s="72" t="s">
        <v>178</v>
      </c>
      <c r="N10" s="15"/>
    </row>
    <row r="11" spans="1:14" x14ac:dyDescent="0.35">
      <c r="A11" s="15"/>
      <c r="B11" s="68" t="s">
        <v>161</v>
      </c>
      <c r="C11" s="68" t="s">
        <v>162</v>
      </c>
      <c r="D11" s="68" t="s">
        <v>163</v>
      </c>
      <c r="E11" s="68" t="s">
        <v>164</v>
      </c>
      <c r="F11" s="68" t="s">
        <v>165</v>
      </c>
      <c r="G11" s="68" t="s">
        <v>166</v>
      </c>
      <c r="H11" s="68" t="s">
        <v>167</v>
      </c>
      <c r="I11" s="15"/>
      <c r="J11" s="73">
        <v>0.625</v>
      </c>
      <c r="K11" s="69" t="s">
        <v>168</v>
      </c>
      <c r="L11" s="69"/>
      <c r="M11" s="74"/>
      <c r="N11" s="15"/>
    </row>
    <row r="12" spans="1:14" x14ac:dyDescent="0.35">
      <c r="A12" s="15"/>
      <c r="B12" s="69">
        <v>29</v>
      </c>
      <c r="C12" s="69">
        <v>30</v>
      </c>
      <c r="D12" s="69">
        <v>1</v>
      </c>
      <c r="E12" s="69">
        <v>2</v>
      </c>
      <c r="F12" s="69">
        <v>3</v>
      </c>
      <c r="G12" s="69">
        <v>4</v>
      </c>
      <c r="H12" s="69">
        <v>5</v>
      </c>
      <c r="I12" s="15"/>
      <c r="J12" s="75"/>
      <c r="K12" s="69"/>
      <c r="L12" s="69"/>
      <c r="M12" s="74"/>
      <c r="N12" s="15"/>
    </row>
    <row r="13" spans="1:14" x14ac:dyDescent="0.35">
      <c r="A13" s="15"/>
      <c r="B13" s="69">
        <v>6</v>
      </c>
      <c r="C13" s="69">
        <v>7</v>
      </c>
      <c r="D13" s="69">
        <v>8</v>
      </c>
      <c r="E13" s="69">
        <v>9</v>
      </c>
      <c r="F13" s="69">
        <v>10</v>
      </c>
      <c r="G13" s="69">
        <v>11</v>
      </c>
      <c r="H13" s="69">
        <v>12</v>
      </c>
      <c r="I13" s="15"/>
      <c r="J13" s="75"/>
      <c r="K13" s="69"/>
      <c r="L13" s="69"/>
      <c r="M13" s="74"/>
      <c r="N13" s="15"/>
    </row>
    <row r="14" spans="1:14" x14ac:dyDescent="0.35">
      <c r="A14" s="15"/>
      <c r="B14" s="69">
        <v>13</v>
      </c>
      <c r="C14" s="69">
        <v>14</v>
      </c>
      <c r="D14" s="69">
        <v>15</v>
      </c>
      <c r="E14" s="69">
        <v>16</v>
      </c>
      <c r="F14" s="69">
        <v>17</v>
      </c>
      <c r="G14" s="69">
        <v>18</v>
      </c>
      <c r="H14" s="69">
        <v>19</v>
      </c>
      <c r="I14" s="15"/>
      <c r="J14" s="75"/>
      <c r="K14" s="69"/>
      <c r="L14" s="69"/>
      <c r="M14" s="74"/>
      <c r="N14" s="15"/>
    </row>
    <row r="15" spans="1:14" x14ac:dyDescent="0.35">
      <c r="A15" s="15"/>
      <c r="B15" s="69">
        <v>20</v>
      </c>
      <c r="C15" s="69">
        <v>21</v>
      </c>
      <c r="D15" s="69">
        <v>22</v>
      </c>
      <c r="E15" s="69">
        <v>23</v>
      </c>
      <c r="F15" s="69">
        <v>24</v>
      </c>
      <c r="G15" s="69">
        <v>25</v>
      </c>
      <c r="H15" s="69">
        <v>26</v>
      </c>
      <c r="I15" s="15"/>
      <c r="J15" s="75"/>
      <c r="K15" s="69"/>
      <c r="L15" s="69"/>
      <c r="M15" s="74"/>
      <c r="N15" s="15"/>
    </row>
    <row r="16" spans="1:14" x14ac:dyDescent="0.35">
      <c r="A16" s="15"/>
      <c r="B16" s="69">
        <v>27</v>
      </c>
      <c r="C16" s="69">
        <v>28</v>
      </c>
      <c r="D16" s="69">
        <v>29</v>
      </c>
      <c r="E16" s="69">
        <v>30</v>
      </c>
      <c r="F16" s="69">
        <v>31</v>
      </c>
      <c r="G16" s="69">
        <v>1</v>
      </c>
      <c r="H16" s="69">
        <v>2</v>
      </c>
      <c r="I16" s="15"/>
      <c r="J16" s="75"/>
      <c r="K16" s="69"/>
      <c r="L16" s="69"/>
      <c r="M16" s="74"/>
      <c r="N16" s="15"/>
    </row>
    <row r="17" spans="1:14" ht="15" thickBot="1" x14ac:dyDescent="0.4">
      <c r="A17" s="15"/>
      <c r="B17" s="69">
        <v>3</v>
      </c>
      <c r="C17" s="69">
        <v>4</v>
      </c>
      <c r="D17" s="69">
        <v>5</v>
      </c>
      <c r="E17" s="69">
        <v>6</v>
      </c>
      <c r="F17" s="69">
        <v>7</v>
      </c>
      <c r="G17" s="69">
        <v>8</v>
      </c>
      <c r="H17" s="69">
        <v>9</v>
      </c>
      <c r="I17" s="15"/>
      <c r="J17" s="76"/>
      <c r="K17" s="77"/>
      <c r="L17" s="77"/>
      <c r="M17" s="78"/>
      <c r="N17" s="15"/>
    </row>
    <row r="18" spans="1:14" x14ac:dyDescent="0.35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</row>
    <row r="19" spans="1:14" x14ac:dyDescent="0.35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</row>
    <row r="20" spans="1:14" x14ac:dyDescent="0.35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</row>
    <row r="21" spans="1:14" x14ac:dyDescent="0.35"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</row>
  </sheetData>
  <mergeCells count="1">
    <mergeCell ref="B3:H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D8683-FB9A-4469-813B-DEF57B3D6884}">
  <dimension ref="A1:M17"/>
  <sheetViews>
    <sheetView workbookViewId="0">
      <selection activeCell="E1" sqref="C1:E1"/>
    </sheetView>
  </sheetViews>
  <sheetFormatPr baseColWidth="10" defaultRowHeight="14.5" x14ac:dyDescent="0.35"/>
  <cols>
    <col min="3" max="3" width="11" customWidth="1"/>
    <col min="4" max="4" width="21.1796875" customWidth="1"/>
    <col min="5" max="5" width="12.1796875" customWidth="1"/>
    <col min="10" max="10" width="18.26953125" customWidth="1"/>
    <col min="11" max="11" width="12.6328125" customWidth="1"/>
    <col min="12" max="12" width="17.08984375" customWidth="1"/>
  </cols>
  <sheetData>
    <row r="1" spans="1:13" ht="18.5" x14ac:dyDescent="0.45">
      <c r="A1" t="s">
        <v>169</v>
      </c>
      <c r="B1" t="s">
        <v>170</v>
      </c>
      <c r="C1" t="s">
        <v>160</v>
      </c>
      <c r="D1" t="s">
        <v>171</v>
      </c>
      <c r="E1" t="s">
        <v>178</v>
      </c>
      <c r="I1" s="15"/>
      <c r="J1" s="91" t="s">
        <v>180</v>
      </c>
      <c r="K1" s="91"/>
      <c r="L1" s="91"/>
      <c r="M1" s="15"/>
    </row>
    <row r="2" spans="1:13" x14ac:dyDescent="0.35">
      <c r="I2" s="15"/>
      <c r="J2" s="64"/>
      <c r="K2" s="15"/>
      <c r="L2" s="15"/>
      <c r="M2" s="15"/>
    </row>
    <row r="3" spans="1:13" x14ac:dyDescent="0.35">
      <c r="I3" s="15"/>
      <c r="J3" s="55" t="s">
        <v>172</v>
      </c>
      <c r="K3" s="57"/>
      <c r="L3" s="58"/>
      <c r="M3" s="15"/>
    </row>
    <row r="4" spans="1:13" x14ac:dyDescent="0.35">
      <c r="I4" s="15"/>
      <c r="J4" s="55" t="s">
        <v>173</v>
      </c>
      <c r="K4" s="57"/>
      <c r="L4" s="58"/>
      <c r="M4" s="15"/>
    </row>
    <row r="5" spans="1:13" x14ac:dyDescent="0.35">
      <c r="I5" s="15"/>
      <c r="J5" s="56" t="s">
        <v>174</v>
      </c>
      <c r="K5" s="57"/>
      <c r="L5" s="58"/>
      <c r="M5" s="15"/>
    </row>
    <row r="6" spans="1:13" x14ac:dyDescent="0.35">
      <c r="I6" s="15"/>
      <c r="J6" s="56" t="s">
        <v>175</v>
      </c>
      <c r="K6" s="57"/>
      <c r="L6" s="58"/>
      <c r="M6" s="15"/>
    </row>
    <row r="7" spans="1:13" x14ac:dyDescent="0.35">
      <c r="I7" s="15"/>
      <c r="J7" s="56" t="s">
        <v>176</v>
      </c>
      <c r="K7" s="57"/>
      <c r="L7" s="58"/>
      <c r="M7" s="15"/>
    </row>
    <row r="8" spans="1:13" x14ac:dyDescent="0.35">
      <c r="I8" s="15"/>
      <c r="J8" s="62" t="s">
        <v>177</v>
      </c>
      <c r="K8" s="63"/>
      <c r="L8" s="63"/>
      <c r="M8" s="15"/>
    </row>
    <row r="9" spans="1:13" x14ac:dyDescent="0.35">
      <c r="I9" s="15"/>
      <c r="J9" s="15"/>
      <c r="K9" s="15"/>
      <c r="L9" s="15"/>
      <c r="M9" s="15"/>
    </row>
    <row r="10" spans="1:13" ht="15" thickBot="1" x14ac:dyDescent="0.4">
      <c r="I10" s="15"/>
      <c r="J10" s="15"/>
      <c r="K10" s="15"/>
      <c r="L10" s="15"/>
      <c r="M10" s="15"/>
    </row>
    <row r="11" spans="1:13" ht="15.5" x14ac:dyDescent="0.35">
      <c r="I11" s="15"/>
      <c r="J11" s="89" t="s">
        <v>149</v>
      </c>
      <c r="K11" s="65"/>
      <c r="L11" s="89" t="s">
        <v>148</v>
      </c>
      <c r="M11" s="15"/>
    </row>
    <row r="12" spans="1:13" ht="16" thickBot="1" x14ac:dyDescent="0.4">
      <c r="I12" s="15"/>
      <c r="J12" s="90"/>
      <c r="K12" s="65"/>
      <c r="L12" s="90"/>
      <c r="M12" s="15"/>
    </row>
    <row r="13" spans="1:13" ht="15" thickBot="1" x14ac:dyDescent="0.4">
      <c r="I13" s="15"/>
      <c r="J13" s="15"/>
      <c r="K13" s="15"/>
      <c r="L13" s="15"/>
      <c r="M13" s="15"/>
    </row>
    <row r="14" spans="1:13" x14ac:dyDescent="0.35">
      <c r="I14" s="15"/>
      <c r="J14" s="89" t="s">
        <v>181</v>
      </c>
      <c r="K14" s="15"/>
      <c r="L14" s="89" t="s">
        <v>182</v>
      </c>
      <c r="M14" s="15"/>
    </row>
    <row r="15" spans="1:13" ht="15" thickBot="1" x14ac:dyDescent="0.4">
      <c r="I15" s="15"/>
      <c r="J15" s="90"/>
      <c r="K15" s="15"/>
      <c r="L15" s="90"/>
      <c r="M15" s="15"/>
    </row>
    <row r="16" spans="1:13" x14ac:dyDescent="0.35">
      <c r="I16" s="15"/>
      <c r="J16" s="15"/>
      <c r="K16" s="15"/>
      <c r="L16" s="15"/>
      <c r="M16" s="15"/>
    </row>
    <row r="17" spans="11:12" x14ac:dyDescent="0.35">
      <c r="K17" s="15"/>
      <c r="L17" s="15"/>
    </row>
  </sheetData>
  <mergeCells count="5">
    <mergeCell ref="J11:J12"/>
    <mergeCell ref="L11:L12"/>
    <mergeCell ref="J1:L1"/>
    <mergeCell ref="J14:J15"/>
    <mergeCell ref="L14:L15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07AA7-8FB0-40A3-846B-77392F5D9BD7}">
  <dimension ref="A1:P42"/>
  <sheetViews>
    <sheetView zoomScale="70" workbookViewId="0">
      <selection activeCell="C32" sqref="C32"/>
    </sheetView>
  </sheetViews>
  <sheetFormatPr baseColWidth="10" defaultColWidth="11.453125" defaultRowHeight="14.5" x14ac:dyDescent="0.35"/>
  <cols>
    <col min="2" max="2" width="5.54296875" customWidth="1"/>
    <col min="3" max="3" width="10.453125" customWidth="1"/>
    <col min="4" max="4" width="13" bestFit="1" customWidth="1"/>
    <col min="5" max="5" width="13.1796875" customWidth="1"/>
    <col min="6" max="6" width="11.26953125" customWidth="1"/>
    <col min="7" max="7" width="18.1796875" bestFit="1" customWidth="1"/>
    <col min="8" max="8" width="5.54296875" customWidth="1"/>
    <col min="9" max="9" width="5.54296875" style="43" customWidth="1"/>
    <col min="10" max="10" width="6.81640625" customWidth="1"/>
  </cols>
  <sheetData>
    <row r="1" spans="1:16" ht="15" thickBot="1" x14ac:dyDescent="0.4">
      <c r="A1" s="43"/>
      <c r="B1" s="43"/>
      <c r="C1" s="43"/>
      <c r="D1" s="43"/>
      <c r="E1" s="43"/>
      <c r="F1" s="43"/>
      <c r="G1" s="43"/>
      <c r="H1" s="43"/>
      <c r="J1" s="43"/>
      <c r="K1" s="43"/>
      <c r="L1" s="43"/>
      <c r="M1" s="43"/>
      <c r="N1" s="43"/>
      <c r="O1" s="43"/>
      <c r="P1" s="43"/>
    </row>
    <row r="2" spans="1:16" x14ac:dyDescent="0.35">
      <c r="A2" s="43"/>
      <c r="B2" s="25"/>
      <c r="C2" s="26"/>
      <c r="D2" s="26"/>
      <c r="E2" s="26"/>
      <c r="F2" s="26"/>
      <c r="G2" s="26"/>
      <c r="H2" s="27"/>
      <c r="J2" s="43"/>
      <c r="K2" s="43"/>
      <c r="L2" s="43"/>
      <c r="M2" s="43"/>
      <c r="N2" s="43"/>
      <c r="O2" s="43"/>
      <c r="P2" s="43"/>
    </row>
    <row r="3" spans="1:16" ht="21" customHeight="1" x14ac:dyDescent="0.35">
      <c r="A3" s="43"/>
      <c r="B3" s="28"/>
      <c r="C3" s="92" t="s">
        <v>142</v>
      </c>
      <c r="D3" s="92"/>
      <c r="E3" s="92"/>
      <c r="F3" s="12"/>
      <c r="G3" s="12"/>
      <c r="H3" s="29"/>
      <c r="J3" s="43"/>
      <c r="K3" s="43"/>
      <c r="L3" s="43"/>
      <c r="M3" s="43"/>
      <c r="N3" s="43"/>
      <c r="O3" s="43"/>
      <c r="P3" s="43"/>
    </row>
    <row r="4" spans="1:16" ht="21" customHeight="1" x14ac:dyDescent="0.4">
      <c r="A4" s="43"/>
      <c r="B4" s="28"/>
      <c r="C4" s="93" t="s">
        <v>118</v>
      </c>
      <c r="D4" s="93"/>
      <c r="E4" s="93"/>
      <c r="F4" s="12"/>
      <c r="G4" s="12"/>
      <c r="H4" s="29"/>
      <c r="J4" s="43"/>
      <c r="K4" s="43"/>
      <c r="L4" s="43"/>
      <c r="M4" s="43"/>
      <c r="N4" s="43"/>
      <c r="O4" s="43"/>
      <c r="P4" s="43"/>
    </row>
    <row r="5" spans="1:16" ht="21" customHeight="1" x14ac:dyDescent="0.4">
      <c r="A5" s="43"/>
      <c r="B5" s="28"/>
      <c r="C5" s="94" t="s">
        <v>119</v>
      </c>
      <c r="D5" s="94"/>
      <c r="E5" s="94"/>
      <c r="F5" s="12"/>
      <c r="G5" s="13"/>
      <c r="H5" s="29"/>
      <c r="J5" s="43"/>
      <c r="K5" s="43"/>
      <c r="L5" s="43"/>
      <c r="M5" s="43"/>
      <c r="N5" s="43"/>
      <c r="O5" s="43"/>
      <c r="P5" s="43"/>
    </row>
    <row r="6" spans="1:16" ht="21" customHeight="1" x14ac:dyDescent="0.4">
      <c r="A6" s="43"/>
      <c r="B6" s="28"/>
      <c r="C6" s="94" t="s">
        <v>120</v>
      </c>
      <c r="D6" s="94"/>
      <c r="E6" s="94"/>
      <c r="F6" s="12"/>
      <c r="G6" s="13"/>
      <c r="H6" s="29"/>
      <c r="J6" s="43"/>
      <c r="K6" s="43"/>
      <c r="L6" s="43"/>
      <c r="M6" s="43"/>
      <c r="N6" s="43"/>
      <c r="O6" s="43"/>
      <c r="P6" s="43"/>
    </row>
    <row r="7" spans="1:16" ht="15" x14ac:dyDescent="0.4">
      <c r="A7" s="43"/>
      <c r="B7" s="28"/>
      <c r="C7" s="14"/>
      <c r="D7" s="14"/>
      <c r="E7" s="14"/>
      <c r="F7" s="12"/>
      <c r="G7" s="13"/>
      <c r="H7" s="29"/>
      <c r="J7" s="43"/>
      <c r="K7" s="43"/>
      <c r="L7" s="43"/>
      <c r="M7" s="43"/>
      <c r="N7" s="43"/>
      <c r="O7" s="43"/>
      <c r="P7" s="43"/>
    </row>
    <row r="8" spans="1:16" ht="16" x14ac:dyDescent="0.35">
      <c r="A8" s="43"/>
      <c r="B8" s="28"/>
      <c r="C8" s="15"/>
      <c r="D8" s="15"/>
      <c r="E8" s="14"/>
      <c r="F8" s="11" t="s">
        <v>121</v>
      </c>
      <c r="G8" s="16" t="s">
        <v>122</v>
      </c>
      <c r="H8" s="29"/>
      <c r="J8" s="43"/>
      <c r="K8" s="43"/>
      <c r="L8" s="43"/>
      <c r="M8" s="43"/>
      <c r="N8" s="43"/>
      <c r="O8" s="43"/>
      <c r="P8" s="43"/>
    </row>
    <row r="9" spans="1:16" ht="16" x14ac:dyDescent="0.4">
      <c r="A9" s="43"/>
      <c r="B9" s="28"/>
      <c r="C9" s="11"/>
      <c r="D9" s="14"/>
      <c r="E9" s="14"/>
      <c r="F9" s="12"/>
      <c r="G9" s="13"/>
      <c r="H9" s="29"/>
      <c r="J9" s="43"/>
      <c r="K9" s="43"/>
      <c r="L9" s="43"/>
      <c r="M9" s="43"/>
      <c r="N9" s="43"/>
      <c r="O9" s="43"/>
      <c r="P9" s="43"/>
    </row>
    <row r="10" spans="1:16" ht="16" x14ac:dyDescent="0.4">
      <c r="A10" s="43"/>
      <c r="B10" s="28"/>
      <c r="C10" s="17" t="s">
        <v>123</v>
      </c>
      <c r="D10" s="8" t="s">
        <v>51</v>
      </c>
      <c r="E10" s="10"/>
      <c r="F10" s="18" t="s">
        <v>124</v>
      </c>
      <c r="G10" s="19">
        <f ca="1">TODAY()</f>
        <v>46228</v>
      </c>
      <c r="H10" s="29"/>
      <c r="J10" s="43"/>
      <c r="K10" s="43"/>
      <c r="L10" s="43"/>
      <c r="M10" s="43"/>
      <c r="N10" s="43"/>
      <c r="O10" s="43"/>
      <c r="P10" s="43"/>
    </row>
    <row r="11" spans="1:16" ht="16" x14ac:dyDescent="0.35">
      <c r="A11" s="43"/>
      <c r="B11" s="28"/>
      <c r="C11" s="17" t="s">
        <v>125</v>
      </c>
      <c r="D11" s="9" t="str">
        <f>IFERROR(VLOOKUP(D10,Clientes[],2,FALSE),"Error de cliente")</f>
        <v>Tatiana Valle</v>
      </c>
      <c r="E11" s="10"/>
      <c r="F11" s="17" t="s">
        <v>126</v>
      </c>
      <c r="G11" s="9" t="str">
        <f>IFERROR(VLOOKUP(D10,Clientes[],3,FALSE),"Cliente no encontrado")</f>
        <v>0968273498</v>
      </c>
      <c r="H11" s="29"/>
      <c r="J11" s="43"/>
      <c r="K11" s="43"/>
      <c r="L11" s="43"/>
      <c r="M11" s="43"/>
      <c r="N11" s="43"/>
      <c r="O11" s="43"/>
      <c r="P11" s="43"/>
    </row>
    <row r="12" spans="1:16" ht="16" x14ac:dyDescent="0.35">
      <c r="A12" s="43"/>
      <c r="B12" s="28"/>
      <c r="C12" s="17" t="s">
        <v>127</v>
      </c>
      <c r="D12" s="9" t="str">
        <f>IFERROR(VLOOKUP(D10,Clientes[],5,FALSE),"Cliente no encontrado")</f>
        <v>valleft@hotmail.com</v>
      </c>
      <c r="E12" s="10"/>
      <c r="F12" s="17" t="s">
        <v>128</v>
      </c>
      <c r="G12" s="9" t="str">
        <f>IFERROR(VLOOKUP(D10,Clientes[],4,FALSE),"Cliente no encontrado")</f>
        <v>Flor de Bastion</v>
      </c>
      <c r="H12" s="29"/>
      <c r="J12" s="43"/>
      <c r="K12" s="43"/>
      <c r="L12" s="43"/>
      <c r="M12" s="43"/>
      <c r="N12" s="43"/>
      <c r="O12" s="43"/>
      <c r="P12" s="43"/>
    </row>
    <row r="13" spans="1:16" ht="15" x14ac:dyDescent="0.4">
      <c r="A13" s="43"/>
      <c r="B13" s="28"/>
      <c r="C13" s="15"/>
      <c r="D13" s="15"/>
      <c r="E13" s="20"/>
      <c r="F13" s="13"/>
      <c r="G13" s="13"/>
      <c r="H13" s="29"/>
      <c r="J13" s="43"/>
      <c r="K13" s="43"/>
      <c r="L13" s="43"/>
      <c r="M13" s="43"/>
      <c r="N13" s="43"/>
      <c r="O13" s="43"/>
      <c r="P13" s="43"/>
    </row>
    <row r="14" spans="1:16" ht="15" x14ac:dyDescent="0.4">
      <c r="A14" s="43"/>
      <c r="B14" s="28"/>
      <c r="C14" s="13"/>
      <c r="D14" s="13"/>
      <c r="E14" s="13"/>
      <c r="F14" s="13"/>
      <c r="G14" s="13"/>
      <c r="H14" s="29"/>
      <c r="J14" s="43"/>
      <c r="K14" s="43"/>
      <c r="L14" s="43"/>
      <c r="M14" s="43"/>
      <c r="N14" s="43"/>
      <c r="O14" s="43"/>
      <c r="P14" s="43"/>
    </row>
    <row r="15" spans="1:16" ht="15" x14ac:dyDescent="0.4">
      <c r="A15" s="43"/>
      <c r="B15" s="28"/>
      <c r="C15" s="33" t="s">
        <v>0</v>
      </c>
      <c r="D15" s="33" t="s">
        <v>129</v>
      </c>
      <c r="E15" s="33" t="s">
        <v>130</v>
      </c>
      <c r="F15" s="33" t="s">
        <v>131</v>
      </c>
      <c r="G15" s="33" t="s">
        <v>132</v>
      </c>
      <c r="H15" s="29"/>
      <c r="J15" s="43"/>
      <c r="K15" s="43"/>
      <c r="L15" s="43"/>
      <c r="M15" s="43"/>
      <c r="N15" s="43"/>
      <c r="O15" s="43"/>
      <c r="P15" s="43"/>
    </row>
    <row r="16" spans="1:16" x14ac:dyDescent="0.35">
      <c r="A16" s="43"/>
      <c r="B16" s="28"/>
      <c r="C16" s="35" t="s">
        <v>6</v>
      </c>
      <c r="D16" s="36" t="str">
        <f>IFERROR(VLOOKUP(factura[[#This Row],[Codigo]],Servicios_Vet[],2,FALSE),"")</f>
        <v>Consulta</v>
      </c>
      <c r="E16" s="37">
        <f>IFERROR(VLOOKUP(factura[[#This Row],[Codigo]],Servicios_Vet[],3,FALSE),"")</f>
        <v>10</v>
      </c>
      <c r="F16" s="34">
        <v>3</v>
      </c>
      <c r="G16" s="37">
        <f>IFERROR(factura[[#This Row],[Precio Unit]]*factura[[#This Row],[Cant.]]," ")</f>
        <v>30</v>
      </c>
      <c r="H16" s="29"/>
      <c r="J16" s="43"/>
      <c r="K16" s="43"/>
      <c r="L16" s="43"/>
      <c r="M16" s="43"/>
      <c r="N16" s="43"/>
      <c r="O16" s="43"/>
      <c r="P16" s="43"/>
    </row>
    <row r="17" spans="1:16" x14ac:dyDescent="0.35">
      <c r="A17" s="43"/>
      <c r="B17" s="28"/>
      <c r="C17" s="36" t="s">
        <v>20</v>
      </c>
      <c r="D17" s="36" t="str">
        <f>IFERROR(VLOOKUP(factura[[#This Row],[Codigo]],Servicios_Vet[],2,FALSE),"")</f>
        <v>Radiografía</v>
      </c>
      <c r="E17" s="37">
        <f>IFERROR(VLOOKUP(factura[[#This Row],[Codigo]],Servicios_Vet[],3,FALSE),"")</f>
        <v>30</v>
      </c>
      <c r="F17" s="34">
        <v>1</v>
      </c>
      <c r="G17" s="37">
        <f>IFERROR(factura[[#This Row],[Precio Unit]]*factura[[#This Row],[Cant.]]," ")</f>
        <v>30</v>
      </c>
      <c r="H17" s="29"/>
      <c r="J17" s="43"/>
      <c r="K17" s="43"/>
      <c r="L17" s="43"/>
      <c r="M17" s="43"/>
      <c r="N17" s="43"/>
      <c r="O17" s="43"/>
      <c r="P17" s="43"/>
    </row>
    <row r="18" spans="1:16" x14ac:dyDescent="0.35">
      <c r="A18" s="43"/>
      <c r="B18" s="28"/>
      <c r="C18" s="36" t="s">
        <v>26</v>
      </c>
      <c r="D18" s="36" t="str">
        <f>IFERROR(VLOOKUP(factura[[#This Row],[Codigo]],Servicios_Vet[],2,FALSE),"")</f>
        <v>Ecografía</v>
      </c>
      <c r="E18" s="37">
        <f>IFERROR(VLOOKUP(factura[[#This Row],[Codigo]],Servicios_Vet[],3,FALSE),"")</f>
        <v>30</v>
      </c>
      <c r="F18" s="34">
        <v>2</v>
      </c>
      <c r="G18" s="37">
        <f>IFERROR(factura[[#This Row],[Precio Unit]]*factura[[#This Row],[Cant.]]," ")</f>
        <v>60</v>
      </c>
      <c r="H18" s="29"/>
      <c r="J18" s="43"/>
      <c r="K18" s="43"/>
      <c r="L18" s="43"/>
      <c r="M18" s="43"/>
      <c r="N18" s="43"/>
      <c r="O18" s="43"/>
      <c r="P18" s="43"/>
    </row>
    <row r="19" spans="1:16" x14ac:dyDescent="0.35">
      <c r="A19" s="43"/>
      <c r="B19" s="28"/>
      <c r="C19" s="21" t="s">
        <v>20</v>
      </c>
      <c r="D19" s="21" t="str">
        <f>IFERROR(VLOOKUP(factura[[#This Row],[Codigo]],Servicios_Vet[],2,FALSE),"")</f>
        <v>Radiografía</v>
      </c>
      <c r="E19" s="22">
        <f>IFERROR(VLOOKUP(factura[[#This Row],[Codigo]],Servicios_Vet[],3,FALSE),"")</f>
        <v>30</v>
      </c>
      <c r="F19" s="34">
        <v>2</v>
      </c>
      <c r="G19" s="22">
        <f>IFERROR(factura[[#This Row],[Precio Unit]]*factura[[#This Row],[Cant.]]," ")</f>
        <v>60</v>
      </c>
      <c r="H19" s="29"/>
      <c r="J19" s="43"/>
      <c r="K19" s="43"/>
      <c r="L19" s="43"/>
      <c r="M19" s="43"/>
      <c r="N19" s="43"/>
      <c r="O19" s="43"/>
      <c r="P19" s="43"/>
    </row>
    <row r="20" spans="1:16" x14ac:dyDescent="0.35">
      <c r="A20" s="43"/>
      <c r="B20" s="28"/>
      <c r="C20" s="21" t="s">
        <v>20</v>
      </c>
      <c r="D20" s="21" t="str">
        <f>IFERROR(VLOOKUP(factura[[#This Row],[Codigo]],Servicios_Vet[],2,FALSE),"")</f>
        <v>Radiografía</v>
      </c>
      <c r="E20" s="22">
        <f>IFERROR(VLOOKUP(factura[[#This Row],[Codigo]],Servicios_Vet[],3,FALSE),"")</f>
        <v>30</v>
      </c>
      <c r="F20" s="34">
        <v>1</v>
      </c>
      <c r="G20" s="22">
        <f>IFERROR(factura[[#This Row],[Precio Unit]]*factura[[#This Row],[Cant.]]," ")</f>
        <v>30</v>
      </c>
      <c r="H20" s="29"/>
      <c r="J20" s="43"/>
      <c r="K20" s="43"/>
      <c r="L20" s="43"/>
      <c r="M20" s="43"/>
      <c r="N20" s="43"/>
      <c r="O20" s="43"/>
      <c r="P20" s="43"/>
    </row>
    <row r="21" spans="1:16" x14ac:dyDescent="0.35">
      <c r="A21" s="43"/>
      <c r="B21" s="28"/>
      <c r="C21" s="21"/>
      <c r="D21" s="21" t="str">
        <f>IFERROR(VLOOKUP(factura[[#This Row],[Codigo]],Servicios_Vet[],2,FALSE),"")</f>
        <v/>
      </c>
      <c r="E21" s="22" t="str">
        <f>IFERROR(VLOOKUP(factura[[#This Row],[Codigo]],Servicios_Vet[],3,FALSE),"")</f>
        <v/>
      </c>
      <c r="F21" s="34"/>
      <c r="G21" s="22" t="str">
        <f>IFERROR(factura[[#This Row],[Precio Unit]]*factura[[#This Row],[Cant.]]," ")</f>
        <v xml:space="preserve"> </v>
      </c>
      <c r="H21" s="29"/>
      <c r="J21" s="43"/>
      <c r="K21" s="43"/>
      <c r="L21" s="43"/>
      <c r="M21" s="43"/>
      <c r="N21" s="43"/>
      <c r="O21" s="43"/>
      <c r="P21" s="43"/>
    </row>
    <row r="22" spans="1:16" x14ac:dyDescent="0.35">
      <c r="A22" s="43"/>
      <c r="B22" s="28"/>
      <c r="C22" s="21"/>
      <c r="D22" s="21" t="str">
        <f>IFERROR(VLOOKUP(factura[[#This Row],[Codigo]],Servicios_Vet[],2,FALSE),"")</f>
        <v/>
      </c>
      <c r="E22" s="22" t="str">
        <f>IFERROR(VLOOKUP(factura[[#This Row],[Codigo]],Servicios_Vet[],3,FALSE),"")</f>
        <v/>
      </c>
      <c r="F22" s="34"/>
      <c r="G22" s="22" t="str">
        <f>IFERROR(factura[[#This Row],[Precio Unit]]*factura[[#This Row],[Cant.]]," ")</f>
        <v xml:space="preserve"> </v>
      </c>
      <c r="H22" s="29"/>
      <c r="J22" s="43"/>
      <c r="K22" s="43"/>
      <c r="L22" s="43"/>
      <c r="M22" s="43"/>
      <c r="N22" s="43"/>
      <c r="O22" s="43"/>
      <c r="P22" s="43"/>
    </row>
    <row r="23" spans="1:16" x14ac:dyDescent="0.35">
      <c r="A23" s="43"/>
      <c r="B23" s="28"/>
      <c r="C23" s="21"/>
      <c r="D23" s="21" t="str">
        <f>IFERROR(VLOOKUP(factura[[#This Row],[Codigo]],Servicios_Vet[],2,FALSE),"")</f>
        <v/>
      </c>
      <c r="E23" s="22" t="str">
        <f>IFERROR(VLOOKUP(factura[[#This Row],[Codigo]],Servicios_Vet[],3,FALSE),"")</f>
        <v/>
      </c>
      <c r="F23" s="34"/>
      <c r="G23" s="22" t="str">
        <f>IFERROR(factura[[#This Row],[Precio Unit]]*factura[[#This Row],[Cant.]]," ")</f>
        <v xml:space="preserve"> </v>
      </c>
      <c r="H23" s="29"/>
      <c r="J23" s="43"/>
      <c r="K23" s="43"/>
      <c r="L23" s="43"/>
      <c r="M23" s="43"/>
      <c r="N23" s="43"/>
      <c r="O23" s="43"/>
      <c r="P23" s="43"/>
    </row>
    <row r="24" spans="1:16" x14ac:dyDescent="0.35">
      <c r="A24" s="43"/>
      <c r="B24" s="28"/>
      <c r="C24" s="21"/>
      <c r="D24" s="21" t="str">
        <f>IFERROR(VLOOKUP(factura[[#This Row],[Codigo]],Servicios_Vet[],2,FALSE),"")</f>
        <v/>
      </c>
      <c r="E24" s="22" t="str">
        <f>IFERROR(VLOOKUP(factura[[#This Row],[Codigo]],Servicios_Vet[],3,FALSE),"")</f>
        <v/>
      </c>
      <c r="F24" s="34"/>
      <c r="G24" s="22" t="str">
        <f>IFERROR(factura[[#This Row],[Precio Unit]]*factura[[#This Row],[Cant.]]," ")</f>
        <v xml:space="preserve"> </v>
      </c>
      <c r="H24" s="29"/>
      <c r="J24" s="43"/>
      <c r="K24" s="43"/>
      <c r="L24" s="43"/>
      <c r="M24" s="43"/>
      <c r="N24" s="43"/>
      <c r="O24" s="43"/>
      <c r="P24" s="43"/>
    </row>
    <row r="25" spans="1:16" x14ac:dyDescent="0.35">
      <c r="A25" s="43"/>
      <c r="B25" s="28"/>
      <c r="C25" s="21"/>
      <c r="D25" s="21" t="str">
        <f>IFERROR(VLOOKUP(factura[[#This Row],[Codigo]],Servicios_Vet[],2,FALSE),"")</f>
        <v/>
      </c>
      <c r="E25" s="22" t="str">
        <f>IFERROR(VLOOKUP(factura[[#This Row],[Codigo]],Servicios_Vet[],3,FALSE),"")</f>
        <v/>
      </c>
      <c r="F25" s="34"/>
      <c r="G25" s="22" t="str">
        <f>IFERROR(factura[[#This Row],[Precio Unit]]*factura[[#This Row],[Cant.]]," ")</f>
        <v xml:space="preserve"> </v>
      </c>
      <c r="H25" s="29"/>
      <c r="J25" s="43"/>
      <c r="K25" s="43"/>
      <c r="L25" s="43"/>
      <c r="M25" s="43"/>
      <c r="N25" s="43"/>
      <c r="O25" s="43"/>
      <c r="P25" s="43"/>
    </row>
    <row r="26" spans="1:16" ht="15" thickBot="1" x14ac:dyDescent="0.4">
      <c r="A26" s="43"/>
      <c r="B26" s="28"/>
      <c r="C26" s="15"/>
      <c r="D26" s="15"/>
      <c r="E26" s="15"/>
      <c r="F26" s="15"/>
      <c r="G26" s="15"/>
      <c r="H26" s="29"/>
      <c r="J26" s="43"/>
      <c r="K26" s="43"/>
      <c r="L26" s="43"/>
      <c r="M26" s="43"/>
      <c r="N26" s="43"/>
      <c r="O26" s="43"/>
      <c r="P26" s="43"/>
    </row>
    <row r="27" spans="1:16" ht="15" thickBot="1" x14ac:dyDescent="0.4">
      <c r="A27" s="43"/>
      <c r="B27" s="28"/>
      <c r="C27" s="15"/>
      <c r="D27" s="15"/>
      <c r="E27" s="15"/>
      <c r="F27" s="23" t="s">
        <v>133</v>
      </c>
      <c r="G27" s="24">
        <f>SUM(G16:G25)</f>
        <v>210</v>
      </c>
      <c r="H27" s="29"/>
      <c r="J27" s="53" t="s">
        <v>134</v>
      </c>
      <c r="K27" s="54">
        <v>0.1</v>
      </c>
      <c r="L27" s="43"/>
      <c r="M27" s="43"/>
      <c r="N27" s="43"/>
      <c r="O27" s="43"/>
      <c r="P27" s="43"/>
    </row>
    <row r="28" spans="1:16" x14ac:dyDescent="0.35">
      <c r="A28" s="43"/>
      <c r="B28" s="28"/>
      <c r="C28" s="15"/>
      <c r="D28" s="15"/>
      <c r="E28" s="15"/>
      <c r="F28" s="23" t="s">
        <v>135</v>
      </c>
      <c r="G28" s="24">
        <f>G27*15%</f>
        <v>31.5</v>
      </c>
      <c r="H28" s="29"/>
      <c r="J28" s="43"/>
      <c r="K28" s="43"/>
      <c r="L28" s="43"/>
      <c r="M28" s="43"/>
      <c r="N28" s="43"/>
      <c r="O28" s="43"/>
      <c r="P28" s="43"/>
    </row>
    <row r="29" spans="1:16" x14ac:dyDescent="0.35">
      <c r="A29" s="43"/>
      <c r="B29" s="28"/>
      <c r="C29" s="15"/>
      <c r="D29" s="15"/>
      <c r="E29" s="15"/>
      <c r="F29" s="23" t="s">
        <v>136</v>
      </c>
      <c r="G29" s="24">
        <f>G27*K27</f>
        <v>21</v>
      </c>
      <c r="H29" s="29"/>
      <c r="J29" s="43"/>
      <c r="K29" s="43"/>
      <c r="L29" s="43"/>
      <c r="M29" s="43"/>
      <c r="N29" s="43"/>
      <c r="O29" s="43"/>
      <c r="P29" s="43"/>
    </row>
    <row r="30" spans="1:16" ht="15" thickBot="1" x14ac:dyDescent="0.4">
      <c r="A30" s="43"/>
      <c r="B30" s="28"/>
      <c r="C30" s="15"/>
      <c r="D30" s="15"/>
      <c r="E30" s="15"/>
      <c r="F30" s="23" t="s">
        <v>137</v>
      </c>
      <c r="G30" s="24">
        <f>G27+G28-G29</f>
        <v>220.5</v>
      </c>
      <c r="H30" s="29"/>
      <c r="J30" s="43"/>
      <c r="K30" s="43"/>
      <c r="L30" s="43"/>
      <c r="M30" s="43"/>
      <c r="N30" s="43"/>
      <c r="O30" s="43"/>
      <c r="P30" s="43"/>
    </row>
    <row r="31" spans="1:16" x14ac:dyDescent="0.35">
      <c r="A31" s="43"/>
      <c r="B31" s="28"/>
      <c r="C31" s="25" t="s">
        <v>138</v>
      </c>
      <c r="D31" s="38"/>
      <c r="E31" s="38"/>
      <c r="F31" s="26"/>
      <c r="G31" s="27"/>
      <c r="H31" s="29"/>
      <c r="J31" s="43"/>
      <c r="K31" s="43"/>
      <c r="L31" s="43"/>
      <c r="M31" s="43"/>
      <c r="N31" s="43"/>
      <c r="O31" s="43"/>
      <c r="P31" s="43"/>
    </row>
    <row r="32" spans="1:16" x14ac:dyDescent="0.35">
      <c r="A32" s="43"/>
      <c r="B32" s="28"/>
      <c r="C32" s="28"/>
      <c r="D32" s="15"/>
      <c r="E32" s="15"/>
      <c r="F32" s="15"/>
      <c r="G32" s="29"/>
      <c r="H32" s="29"/>
      <c r="J32" s="43"/>
      <c r="K32" s="43"/>
      <c r="L32" s="43"/>
      <c r="M32" s="43"/>
      <c r="N32" s="43"/>
      <c r="O32" s="43"/>
      <c r="P32" s="43"/>
    </row>
    <row r="33" spans="1:16" x14ac:dyDescent="0.35">
      <c r="A33" s="43"/>
      <c r="B33" s="28"/>
      <c r="C33" s="28"/>
      <c r="D33" s="15"/>
      <c r="E33" s="15"/>
      <c r="F33" s="15"/>
      <c r="G33" s="29"/>
      <c r="H33" s="29"/>
      <c r="J33" s="43"/>
      <c r="K33" s="43"/>
      <c r="L33" s="43"/>
      <c r="M33" s="43"/>
      <c r="N33" s="43"/>
      <c r="O33" s="43"/>
      <c r="P33" s="43"/>
    </row>
    <row r="34" spans="1:16" x14ac:dyDescent="0.35">
      <c r="A34" s="43"/>
      <c r="B34" s="28"/>
      <c r="C34" s="28" t="s">
        <v>139</v>
      </c>
      <c r="D34" s="15"/>
      <c r="E34" s="15"/>
      <c r="F34" s="15"/>
      <c r="G34" s="29"/>
      <c r="H34" s="29"/>
      <c r="J34" s="43"/>
      <c r="K34" s="43"/>
      <c r="L34" s="43"/>
      <c r="M34" s="43"/>
      <c r="N34" s="43"/>
      <c r="O34" s="43"/>
      <c r="P34" s="43"/>
    </row>
    <row r="35" spans="1:16" ht="15" thickBot="1" x14ac:dyDescent="0.4">
      <c r="A35" s="43"/>
      <c r="B35" s="28"/>
      <c r="C35" s="30"/>
      <c r="D35" s="31"/>
      <c r="E35" s="31"/>
      <c r="F35" s="31"/>
      <c r="G35" s="32"/>
      <c r="H35" s="29"/>
      <c r="J35" s="43"/>
      <c r="K35" s="43"/>
      <c r="L35" s="43"/>
      <c r="M35" s="43"/>
      <c r="N35" s="43"/>
      <c r="O35" s="43"/>
      <c r="P35" s="43"/>
    </row>
    <row r="36" spans="1:16" x14ac:dyDescent="0.35">
      <c r="A36" s="43"/>
      <c r="B36" s="28"/>
      <c r="C36" s="15"/>
      <c r="D36" s="15"/>
      <c r="E36" s="15"/>
      <c r="F36" s="15"/>
      <c r="G36" s="15"/>
      <c r="H36" s="29"/>
      <c r="J36" s="43"/>
      <c r="K36" s="43"/>
      <c r="L36" s="43"/>
      <c r="M36" s="43"/>
      <c r="N36" s="43"/>
      <c r="O36" s="43"/>
      <c r="P36" s="43"/>
    </row>
    <row r="37" spans="1:16" x14ac:dyDescent="0.35">
      <c r="A37" s="43"/>
      <c r="B37" s="28"/>
      <c r="C37" s="15" t="s">
        <v>140</v>
      </c>
      <c r="D37" s="15"/>
      <c r="E37" s="15"/>
      <c r="F37" s="15" t="s">
        <v>141</v>
      </c>
      <c r="G37" s="15"/>
      <c r="H37" s="29"/>
      <c r="J37" s="43"/>
      <c r="K37" s="43"/>
      <c r="L37" s="43"/>
      <c r="M37" s="43"/>
      <c r="N37" s="43"/>
      <c r="O37" s="43"/>
      <c r="P37" s="43"/>
    </row>
    <row r="38" spans="1:16" ht="15" thickBot="1" x14ac:dyDescent="0.4">
      <c r="A38" s="43"/>
      <c r="B38" s="30"/>
      <c r="C38" s="31"/>
      <c r="D38" s="31"/>
      <c r="E38" s="31"/>
      <c r="F38" s="31"/>
      <c r="G38" s="31"/>
      <c r="H38" s="32"/>
      <c r="J38" s="43"/>
      <c r="K38" s="43"/>
      <c r="L38" s="43"/>
      <c r="M38" s="43"/>
      <c r="N38" s="43"/>
      <c r="O38" s="43"/>
      <c r="P38" s="43"/>
    </row>
    <row r="39" spans="1:16" x14ac:dyDescent="0.35">
      <c r="A39" s="43"/>
      <c r="B39" s="43"/>
      <c r="C39" s="43"/>
      <c r="D39" s="43"/>
      <c r="E39" s="43"/>
      <c r="F39" s="43"/>
      <c r="G39" s="43"/>
      <c r="H39" s="43"/>
      <c r="J39" s="43"/>
      <c r="K39" s="43"/>
      <c r="L39" s="43"/>
      <c r="M39" s="43"/>
      <c r="N39" s="43"/>
      <c r="O39" s="43"/>
      <c r="P39" s="43"/>
    </row>
    <row r="40" spans="1:16" x14ac:dyDescent="0.35">
      <c r="A40" s="43"/>
      <c r="B40" s="43"/>
      <c r="C40" s="43"/>
      <c r="D40" s="43"/>
      <c r="E40" s="43"/>
      <c r="F40" s="43"/>
      <c r="G40" s="43"/>
      <c r="H40" s="43"/>
      <c r="J40" s="43"/>
      <c r="K40" s="43"/>
      <c r="L40" s="43"/>
      <c r="M40" s="43"/>
      <c r="N40" s="43"/>
      <c r="O40" s="43"/>
      <c r="P40" s="43"/>
    </row>
    <row r="41" spans="1:16" x14ac:dyDescent="0.35">
      <c r="A41" s="43"/>
      <c r="B41" s="43"/>
      <c r="C41" s="43"/>
      <c r="D41" s="43"/>
      <c r="E41" s="43"/>
      <c r="F41" s="43"/>
      <c r="G41" s="43"/>
      <c r="H41" s="43"/>
      <c r="J41" s="43"/>
      <c r="K41" s="43"/>
      <c r="L41" s="43"/>
      <c r="M41" s="43"/>
      <c r="N41" s="43"/>
      <c r="O41" s="43"/>
      <c r="P41" s="43"/>
    </row>
    <row r="42" spans="1:16" x14ac:dyDescent="0.35">
      <c r="A42" s="43"/>
      <c r="B42" s="43"/>
      <c r="C42" s="43"/>
      <c r="D42" s="43"/>
      <c r="E42" s="43"/>
      <c r="F42" s="43"/>
      <c r="G42" s="43"/>
      <c r="H42" s="43"/>
      <c r="J42" s="43"/>
      <c r="K42" s="43"/>
      <c r="L42" s="43"/>
      <c r="M42" s="43"/>
      <c r="N42" s="43"/>
      <c r="O42" s="43"/>
      <c r="P42" s="43"/>
    </row>
  </sheetData>
  <mergeCells count="4">
    <mergeCell ref="C3:E3"/>
    <mergeCell ref="C4:E4"/>
    <mergeCell ref="C5:E5"/>
    <mergeCell ref="C6:E6"/>
  </mergeCells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C011C-C52B-4DCE-A241-AAEDC6E1349C}">
  <dimension ref="A1:K18"/>
  <sheetViews>
    <sheetView workbookViewId="0">
      <selection activeCell="D20" sqref="D20"/>
    </sheetView>
  </sheetViews>
  <sheetFormatPr baseColWidth="10" defaultColWidth="11.453125" defaultRowHeight="14.5" x14ac:dyDescent="0.35"/>
  <cols>
    <col min="1" max="1" width="11.1796875" bestFit="1" customWidth="1"/>
    <col min="2" max="2" width="15.54296875" bestFit="1" customWidth="1"/>
    <col min="3" max="3" width="12.7265625" bestFit="1" customWidth="1"/>
    <col min="4" max="4" width="14.7265625" bestFit="1" customWidth="1"/>
    <col min="5" max="6" width="21.453125" bestFit="1" customWidth="1"/>
    <col min="8" max="8" width="17.36328125" customWidth="1"/>
    <col min="10" max="10" width="15.90625" customWidth="1"/>
  </cols>
  <sheetData>
    <row r="1" spans="1:11" x14ac:dyDescent="0.35">
      <c r="A1" s="95" t="s">
        <v>30</v>
      </c>
      <c r="B1" s="95"/>
      <c r="C1" s="95"/>
      <c r="D1" s="95"/>
      <c r="E1" s="95"/>
      <c r="G1" s="15"/>
      <c r="H1" s="15"/>
      <c r="I1" s="15"/>
      <c r="J1" s="15"/>
      <c r="K1" s="15"/>
    </row>
    <row r="2" spans="1:11" s="4" customFormat="1" x14ac:dyDescent="0.35">
      <c r="A2" s="7" t="s">
        <v>31</v>
      </c>
      <c r="B2" s="7" t="s">
        <v>32</v>
      </c>
      <c r="C2" s="7" t="s">
        <v>33</v>
      </c>
      <c r="D2" s="7" t="s">
        <v>34</v>
      </c>
      <c r="E2" s="7" t="s">
        <v>35</v>
      </c>
      <c r="G2" s="66"/>
      <c r="H2" s="96"/>
      <c r="I2" s="96"/>
      <c r="J2" s="96"/>
      <c r="K2" s="66"/>
    </row>
    <row r="3" spans="1:11" ht="21" x14ac:dyDescent="0.5">
      <c r="A3" s="5" t="s">
        <v>36</v>
      </c>
      <c r="B3" s="1" t="s">
        <v>37</v>
      </c>
      <c r="C3" s="1" t="s">
        <v>38</v>
      </c>
      <c r="D3" s="1" t="s">
        <v>39</v>
      </c>
      <c r="E3" s="6" t="s">
        <v>40</v>
      </c>
      <c r="G3" s="15"/>
      <c r="H3" s="97" t="s">
        <v>147</v>
      </c>
      <c r="I3" s="97"/>
      <c r="J3" s="97"/>
      <c r="K3" s="15"/>
    </row>
    <row r="4" spans="1:11" x14ac:dyDescent="0.35">
      <c r="A4" s="5" t="s">
        <v>41</v>
      </c>
      <c r="B4" s="1" t="s">
        <v>42</v>
      </c>
      <c r="C4" s="1" t="s">
        <v>43</v>
      </c>
      <c r="D4" s="1" t="s">
        <v>44</v>
      </c>
      <c r="E4" s="6" t="s">
        <v>45</v>
      </c>
      <c r="G4" s="15"/>
      <c r="H4" s="64"/>
      <c r="I4" s="15"/>
      <c r="J4" s="15"/>
      <c r="K4" s="15"/>
    </row>
    <row r="5" spans="1:11" x14ac:dyDescent="0.35">
      <c r="A5" s="5" t="s">
        <v>46</v>
      </c>
      <c r="B5" s="1" t="s">
        <v>47</v>
      </c>
      <c r="C5" s="1" t="s">
        <v>48</v>
      </c>
      <c r="D5" s="1" t="s">
        <v>49</v>
      </c>
      <c r="E5" s="6" t="s">
        <v>50</v>
      </c>
      <c r="G5" s="15"/>
      <c r="H5" s="55" t="s">
        <v>123</v>
      </c>
      <c r="I5" s="57"/>
      <c r="J5" s="58"/>
      <c r="K5" s="15"/>
    </row>
    <row r="6" spans="1:11" x14ac:dyDescent="0.35">
      <c r="A6" s="5" t="s">
        <v>51</v>
      </c>
      <c r="B6" s="1" t="s">
        <v>52</v>
      </c>
      <c r="C6" s="1" t="s">
        <v>53</v>
      </c>
      <c r="D6" s="1" t="s">
        <v>54</v>
      </c>
      <c r="E6" s="6" t="s">
        <v>55</v>
      </c>
      <c r="G6" s="15"/>
      <c r="H6" s="55" t="s">
        <v>143</v>
      </c>
      <c r="I6" s="57"/>
      <c r="J6" s="58"/>
      <c r="K6" s="15"/>
    </row>
    <row r="7" spans="1:11" x14ac:dyDescent="0.35">
      <c r="A7" s="5" t="s">
        <v>56</v>
      </c>
      <c r="B7" s="1" t="s">
        <v>57</v>
      </c>
      <c r="C7" s="1" t="s">
        <v>58</v>
      </c>
      <c r="D7" s="1" t="s">
        <v>59</v>
      </c>
      <c r="E7" s="6" t="s">
        <v>60</v>
      </c>
      <c r="G7" s="15"/>
      <c r="H7" s="56" t="s">
        <v>144</v>
      </c>
      <c r="I7" s="57"/>
      <c r="J7" s="58"/>
      <c r="K7" s="15"/>
    </row>
    <row r="8" spans="1:11" x14ac:dyDescent="0.35">
      <c r="A8" s="5" t="s">
        <v>61</v>
      </c>
      <c r="B8" s="1" t="s">
        <v>62</v>
      </c>
      <c r="C8" s="1" t="s">
        <v>63</v>
      </c>
      <c r="D8" s="1" t="s">
        <v>64</v>
      </c>
      <c r="E8" s="6" t="s">
        <v>65</v>
      </c>
      <c r="G8" s="15"/>
      <c r="H8" s="56" t="s">
        <v>145</v>
      </c>
      <c r="I8" s="57"/>
      <c r="J8" s="58"/>
      <c r="K8" s="15"/>
    </row>
    <row r="9" spans="1:11" x14ac:dyDescent="0.35">
      <c r="A9" s="5" t="s">
        <v>66</v>
      </c>
      <c r="B9" s="1" t="s">
        <v>67</v>
      </c>
      <c r="C9" s="1" t="s">
        <v>68</v>
      </c>
      <c r="D9" s="1" t="s">
        <v>69</v>
      </c>
      <c r="E9" s="6" t="s">
        <v>70</v>
      </c>
      <c r="G9" s="15"/>
      <c r="H9" s="56" t="s">
        <v>146</v>
      </c>
      <c r="I9" s="57"/>
      <c r="J9" s="58"/>
      <c r="K9" s="15"/>
    </row>
    <row r="10" spans="1:11" x14ac:dyDescent="0.35">
      <c r="A10" s="5" t="s">
        <v>71</v>
      </c>
      <c r="B10" s="1" t="s">
        <v>72</v>
      </c>
      <c r="C10" s="1" t="s">
        <v>73</v>
      </c>
      <c r="D10" s="1" t="s">
        <v>74</v>
      </c>
      <c r="E10" s="6" t="s">
        <v>75</v>
      </c>
      <c r="G10" s="15"/>
      <c r="H10" s="15"/>
      <c r="I10" s="15"/>
      <c r="J10" s="15"/>
      <c r="K10" s="15"/>
    </row>
    <row r="11" spans="1:11" ht="15" thickBot="1" x14ac:dyDescent="0.4">
      <c r="A11" s="5" t="s">
        <v>76</v>
      </c>
      <c r="B11" s="1" t="s">
        <v>77</v>
      </c>
      <c r="C11" s="1" t="s">
        <v>78</v>
      </c>
      <c r="D11" s="1" t="s">
        <v>79</v>
      </c>
      <c r="E11" s="6" t="s">
        <v>80</v>
      </c>
      <c r="G11" s="15"/>
      <c r="H11" s="15"/>
      <c r="I11" s="15"/>
      <c r="J11" s="15"/>
      <c r="K11" s="15"/>
    </row>
    <row r="12" spans="1:11" ht="15.5" x14ac:dyDescent="0.35">
      <c r="A12" s="5" t="s">
        <v>81</v>
      </c>
      <c r="B12" s="1" t="s">
        <v>82</v>
      </c>
      <c r="C12" s="1" t="s">
        <v>83</v>
      </c>
      <c r="D12" s="1" t="s">
        <v>84</v>
      </c>
      <c r="E12" s="6" t="s">
        <v>85</v>
      </c>
      <c r="G12" s="15"/>
      <c r="H12" s="89" t="s">
        <v>149</v>
      </c>
      <c r="I12" s="65"/>
      <c r="J12" s="89" t="s">
        <v>148</v>
      </c>
      <c r="K12" s="15"/>
    </row>
    <row r="13" spans="1:11" ht="16" thickBot="1" x14ac:dyDescent="0.4">
      <c r="G13" s="15"/>
      <c r="H13" s="90"/>
      <c r="I13" s="65"/>
      <c r="J13" s="90"/>
      <c r="K13" s="15"/>
    </row>
    <row r="14" spans="1:11" ht="15" thickBot="1" x14ac:dyDescent="0.4">
      <c r="G14" s="15"/>
      <c r="H14" s="15"/>
      <c r="I14" s="15"/>
      <c r="J14" s="15"/>
      <c r="K14" s="15"/>
    </row>
    <row r="15" spans="1:11" x14ac:dyDescent="0.35">
      <c r="G15" s="15"/>
      <c r="H15" s="89" t="s">
        <v>181</v>
      </c>
      <c r="I15" s="15"/>
      <c r="J15" s="89" t="s">
        <v>182</v>
      </c>
      <c r="K15" s="15"/>
    </row>
    <row r="16" spans="1:11" ht="15" thickBot="1" x14ac:dyDescent="0.4">
      <c r="G16" s="15"/>
      <c r="H16" s="90"/>
      <c r="I16" s="15"/>
      <c r="J16" s="90"/>
      <c r="K16" s="15"/>
    </row>
    <row r="17" spans="7:11" x14ac:dyDescent="0.35">
      <c r="G17" s="15"/>
      <c r="H17" s="15"/>
      <c r="I17" s="15"/>
      <c r="J17" s="15"/>
      <c r="K17" s="15"/>
    </row>
    <row r="18" spans="7:11" x14ac:dyDescent="0.35">
      <c r="G18" s="15"/>
      <c r="H18" s="15"/>
      <c r="I18" s="15"/>
      <c r="J18" s="15"/>
      <c r="K18" s="15"/>
    </row>
  </sheetData>
  <mergeCells count="7">
    <mergeCell ref="H15:H16"/>
    <mergeCell ref="J15:J16"/>
    <mergeCell ref="A1:E1"/>
    <mergeCell ref="H2:J2"/>
    <mergeCell ref="H3:J3"/>
    <mergeCell ref="H12:H13"/>
    <mergeCell ref="J12:J13"/>
  </mergeCells>
  <hyperlinks>
    <hyperlink ref="E3" r:id="rId1" xr:uid="{140AA241-FF7E-4C2D-B1D9-EC885DC54E20}"/>
    <hyperlink ref="E4" r:id="rId2" xr:uid="{F8091AE3-190E-4CC0-83BC-B3FFF9DD4CDF}"/>
    <hyperlink ref="E5" r:id="rId3" xr:uid="{A9C5EB72-E99B-45FD-9123-166ABA76AD7C}"/>
    <hyperlink ref="E6" r:id="rId4" xr:uid="{DBE1CFCA-070F-4B7C-A110-EA7A8ED495C6}"/>
    <hyperlink ref="E7" r:id="rId5" xr:uid="{46DB96F3-86A0-446B-AF37-6578B0189821}"/>
    <hyperlink ref="E8" r:id="rId6" xr:uid="{A2D5CB58-0873-4126-B351-123A928C9493}"/>
    <hyperlink ref="E9" r:id="rId7" xr:uid="{74C4EAC3-6CC1-4810-B5A7-8E9E72457728}"/>
    <hyperlink ref="E10" r:id="rId8" xr:uid="{8D9028DE-5DF7-47BF-9640-5CDCC3B48A27}"/>
    <hyperlink ref="E11" r:id="rId9" xr:uid="{87060BAB-B6BD-4D2B-81D9-94941CE9AE34}"/>
    <hyperlink ref="E12" r:id="rId10" xr:uid="{722877D6-5004-4230-B9CC-B76AEBD1BDEA}"/>
  </hyperlinks>
  <pageMargins left="0.7" right="0.7" top="0.75" bottom="0.75" header="0.3" footer="0.3"/>
  <tableParts count="1">
    <tablePart r:id="rId1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7427E-8503-4A46-9B35-7016F7833F51}">
  <dimension ref="A1:M17"/>
  <sheetViews>
    <sheetView topLeftCell="B1" workbookViewId="0">
      <selection activeCell="M16" sqref="M16"/>
    </sheetView>
  </sheetViews>
  <sheetFormatPr baseColWidth="10" defaultColWidth="11.453125" defaultRowHeight="14.5" x14ac:dyDescent="0.35"/>
  <cols>
    <col min="1" max="1" width="12.1796875" style="1" bestFit="1" customWidth="1"/>
    <col min="2" max="2" width="12.7265625" style="1" bestFit="1" customWidth="1"/>
    <col min="3" max="3" width="13.81640625" style="1" bestFit="1" customWidth="1"/>
    <col min="4" max="4" width="24.81640625" style="1" bestFit="1" customWidth="1"/>
    <col min="8" max="8" width="18.81640625" customWidth="1"/>
    <col min="10" max="10" width="9" customWidth="1"/>
    <col min="11" max="11" width="15.453125" customWidth="1"/>
  </cols>
  <sheetData>
    <row r="1" spans="1:13" x14ac:dyDescent="0.35">
      <c r="A1" s="98" t="s">
        <v>86</v>
      </c>
      <c r="B1" s="98"/>
      <c r="C1" s="98"/>
      <c r="D1" s="98"/>
      <c r="G1" s="15"/>
      <c r="H1" s="15"/>
      <c r="I1" s="15"/>
      <c r="J1" s="15"/>
      <c r="K1" s="15"/>
      <c r="L1" s="15"/>
      <c r="M1" s="15"/>
    </row>
    <row r="2" spans="1:13" x14ac:dyDescent="0.35">
      <c r="A2" s="7" t="s">
        <v>87</v>
      </c>
      <c r="B2" s="7" t="s">
        <v>33</v>
      </c>
      <c r="C2" s="7" t="s">
        <v>88</v>
      </c>
      <c r="D2" s="7" t="s">
        <v>89</v>
      </c>
      <c r="G2" s="15"/>
      <c r="H2" s="15"/>
      <c r="I2" s="15"/>
      <c r="J2" s="15"/>
      <c r="K2" s="15"/>
      <c r="L2" s="15"/>
      <c r="M2" s="15"/>
    </row>
    <row r="3" spans="1:13" ht="21" x14ac:dyDescent="0.5">
      <c r="A3" s="1" t="s">
        <v>90</v>
      </c>
      <c r="B3" s="1" t="s">
        <v>91</v>
      </c>
      <c r="C3" s="1" t="s">
        <v>92</v>
      </c>
      <c r="D3" s="1" t="s">
        <v>93</v>
      </c>
      <c r="G3" s="15"/>
      <c r="H3" s="101" t="s">
        <v>179</v>
      </c>
      <c r="I3" s="101"/>
      <c r="J3" s="101"/>
      <c r="K3" s="101"/>
      <c r="L3" s="15"/>
      <c r="M3" s="15"/>
    </row>
    <row r="4" spans="1:13" x14ac:dyDescent="0.35">
      <c r="A4" s="1" t="s">
        <v>94</v>
      </c>
      <c r="B4" s="1" t="s">
        <v>95</v>
      </c>
      <c r="C4" s="1" t="s">
        <v>96</v>
      </c>
      <c r="D4" s="1" t="s">
        <v>97</v>
      </c>
      <c r="G4" s="15"/>
      <c r="H4" s="64"/>
      <c r="I4" s="15"/>
      <c r="J4" s="15"/>
      <c r="K4" s="15"/>
      <c r="L4" s="15"/>
      <c r="M4" s="15"/>
    </row>
    <row r="5" spans="1:13" x14ac:dyDescent="0.35">
      <c r="A5" s="1" t="s">
        <v>98</v>
      </c>
      <c r="B5" s="1" t="s">
        <v>99</v>
      </c>
      <c r="C5" s="1" t="s">
        <v>100</v>
      </c>
      <c r="D5" s="1" t="s">
        <v>101</v>
      </c>
      <c r="G5" s="15"/>
      <c r="H5" s="59" t="s">
        <v>125</v>
      </c>
      <c r="I5" s="39"/>
      <c r="J5" s="61"/>
      <c r="K5" s="40"/>
      <c r="L5" s="15"/>
      <c r="M5" s="15"/>
    </row>
    <row r="6" spans="1:13" x14ac:dyDescent="0.35">
      <c r="A6" s="1" t="s">
        <v>102</v>
      </c>
      <c r="B6" s="1" t="s">
        <v>103</v>
      </c>
      <c r="C6" s="1" t="s">
        <v>104</v>
      </c>
      <c r="D6" s="1" t="s">
        <v>105</v>
      </c>
      <c r="G6" s="15"/>
      <c r="H6" s="60" t="s">
        <v>144</v>
      </c>
      <c r="I6" s="39"/>
      <c r="J6" s="61"/>
      <c r="K6" s="40"/>
      <c r="L6" s="15"/>
      <c r="M6" s="15"/>
    </row>
    <row r="7" spans="1:13" x14ac:dyDescent="0.35">
      <c r="A7" s="1" t="s">
        <v>106</v>
      </c>
      <c r="B7" s="1" t="s">
        <v>107</v>
      </c>
      <c r="C7" s="1" t="s">
        <v>108</v>
      </c>
      <c r="D7" s="1" t="s">
        <v>109</v>
      </c>
      <c r="G7" s="15"/>
      <c r="H7" s="60" t="s">
        <v>153</v>
      </c>
      <c r="I7" s="39"/>
      <c r="J7" s="61"/>
      <c r="K7" s="40"/>
      <c r="L7" s="15"/>
      <c r="M7" s="15"/>
    </row>
    <row r="8" spans="1:13" x14ac:dyDescent="0.35">
      <c r="A8" s="1" t="s">
        <v>110</v>
      </c>
      <c r="B8" s="1" t="s">
        <v>111</v>
      </c>
      <c r="C8" s="1" t="s">
        <v>112</v>
      </c>
      <c r="D8" s="1" t="s">
        <v>113</v>
      </c>
      <c r="G8" s="15"/>
      <c r="H8" s="60" t="s">
        <v>154</v>
      </c>
      <c r="I8" s="39"/>
      <c r="J8" s="61"/>
      <c r="K8" s="40"/>
      <c r="L8" s="15"/>
      <c r="M8" s="15"/>
    </row>
    <row r="9" spans="1:13" x14ac:dyDescent="0.35">
      <c r="A9" s="1" t="s">
        <v>114</v>
      </c>
      <c r="B9" s="1" t="s">
        <v>115</v>
      </c>
      <c r="C9" s="1" t="s">
        <v>116</v>
      </c>
      <c r="D9" s="1" t="s">
        <v>117</v>
      </c>
      <c r="G9" s="15"/>
      <c r="H9" s="15"/>
      <c r="I9" s="15"/>
      <c r="J9" s="15"/>
      <c r="K9" s="15"/>
      <c r="L9" s="15"/>
      <c r="M9" s="15"/>
    </row>
    <row r="10" spans="1:13" ht="15" thickBot="1" x14ac:dyDescent="0.4">
      <c r="G10" s="15"/>
      <c r="H10" s="15"/>
      <c r="I10" s="15"/>
      <c r="J10" s="15"/>
      <c r="K10" s="15"/>
      <c r="L10" s="15"/>
      <c r="M10" s="15"/>
    </row>
    <row r="11" spans="1:13" ht="15.5" x14ac:dyDescent="0.35">
      <c r="G11" s="15"/>
      <c r="H11" s="99" t="s">
        <v>149</v>
      </c>
      <c r="I11" s="65"/>
      <c r="J11" s="65"/>
      <c r="K11" s="99" t="s">
        <v>148</v>
      </c>
      <c r="L11" s="15"/>
      <c r="M11" s="15"/>
    </row>
    <row r="12" spans="1:13" ht="16" thickBot="1" x14ac:dyDescent="0.4">
      <c r="G12" s="15"/>
      <c r="H12" s="100"/>
      <c r="I12" s="65"/>
      <c r="J12" s="65"/>
      <c r="K12" s="100"/>
      <c r="L12" s="15"/>
      <c r="M12" s="15"/>
    </row>
    <row r="13" spans="1:13" ht="15" thickBot="1" x14ac:dyDescent="0.4">
      <c r="G13" s="15"/>
      <c r="H13" s="15"/>
      <c r="I13" s="15"/>
      <c r="J13" s="15"/>
      <c r="K13" s="15"/>
      <c r="L13" s="15"/>
      <c r="M13" s="15"/>
    </row>
    <row r="14" spans="1:13" x14ac:dyDescent="0.35">
      <c r="G14" s="15"/>
      <c r="H14" s="99" t="s">
        <v>181</v>
      </c>
      <c r="I14" s="15"/>
      <c r="J14" s="15"/>
      <c r="K14" s="99" t="s">
        <v>182</v>
      </c>
      <c r="L14" s="15"/>
    </row>
    <row r="15" spans="1:13" ht="15" thickBot="1" x14ac:dyDescent="0.4">
      <c r="G15" s="15"/>
      <c r="H15" s="100"/>
      <c r="I15" s="15"/>
      <c r="J15" s="15"/>
      <c r="K15" s="100"/>
      <c r="L15" s="15"/>
    </row>
    <row r="16" spans="1:13" x14ac:dyDescent="0.35">
      <c r="G16" s="15"/>
      <c r="H16" s="15"/>
      <c r="I16" s="15"/>
      <c r="J16" s="15"/>
      <c r="K16" s="15"/>
      <c r="L16" s="15"/>
    </row>
    <row r="17" spans="7:12" x14ac:dyDescent="0.35">
      <c r="G17" s="15"/>
      <c r="H17" s="15"/>
      <c r="I17" s="15"/>
      <c r="J17" s="15"/>
      <c r="K17" s="15"/>
      <c r="L17" s="15"/>
    </row>
  </sheetData>
  <mergeCells count="6">
    <mergeCell ref="A1:D1"/>
    <mergeCell ref="H11:H12"/>
    <mergeCell ref="K11:K12"/>
    <mergeCell ref="H3:K3"/>
    <mergeCell ref="H14:H15"/>
    <mergeCell ref="K14:K15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D3273-81BC-4484-8AB7-D9A5E5AC22C2}">
  <dimension ref="A1:M16"/>
  <sheetViews>
    <sheetView workbookViewId="0">
      <selection activeCell="K13" sqref="K13:L14"/>
    </sheetView>
  </sheetViews>
  <sheetFormatPr baseColWidth="10" defaultColWidth="11.453125" defaultRowHeight="14.5" x14ac:dyDescent="0.35"/>
  <cols>
    <col min="1" max="1" width="11.1796875" bestFit="1" customWidth="1"/>
    <col min="2" max="2" width="14.1796875" bestFit="1" customWidth="1"/>
    <col min="3" max="3" width="10.1796875" bestFit="1" customWidth="1"/>
    <col min="4" max="4" width="8.7265625" bestFit="1" customWidth="1"/>
    <col min="5" max="5" width="10.81640625" customWidth="1"/>
    <col min="9" max="9" width="21.81640625" customWidth="1"/>
    <col min="12" max="12" width="9.90625" customWidth="1"/>
  </cols>
  <sheetData>
    <row r="1" spans="1:13" ht="18.5" x14ac:dyDescent="0.45">
      <c r="A1" s="102" t="s">
        <v>2</v>
      </c>
      <c r="B1" s="102"/>
      <c r="C1" s="102"/>
      <c r="D1" s="102"/>
      <c r="E1" s="102"/>
      <c r="H1" s="15"/>
      <c r="I1" s="15"/>
      <c r="J1" s="15"/>
      <c r="K1" s="15"/>
      <c r="L1" s="15"/>
      <c r="M1" s="15"/>
    </row>
    <row r="2" spans="1:13" s="4" customFormat="1" x14ac:dyDescent="0.35">
      <c r="A2" s="4" t="s">
        <v>0</v>
      </c>
      <c r="B2" s="4" t="s">
        <v>3</v>
      </c>
      <c r="C2" s="4" t="s">
        <v>4</v>
      </c>
      <c r="D2" s="4" t="s">
        <v>1</v>
      </c>
      <c r="E2" s="4" t="s">
        <v>5</v>
      </c>
      <c r="H2" s="66"/>
      <c r="I2" s="103" t="s">
        <v>150</v>
      </c>
      <c r="J2" s="103"/>
      <c r="K2" s="103"/>
      <c r="L2" s="103"/>
      <c r="M2" s="66"/>
    </row>
    <row r="3" spans="1:13" x14ac:dyDescent="0.35">
      <c r="A3" s="1" t="s">
        <v>6</v>
      </c>
      <c r="B3" s="1" t="s">
        <v>7</v>
      </c>
      <c r="C3" s="2">
        <v>10</v>
      </c>
      <c r="D3" s="2">
        <f>Servicios_Vet[[#This Row],[Costo]]-(Servicios_Vet[[#This Row],[Costo]]*Servicios_Vet[[#This Row],[Descuento]])</f>
        <v>10</v>
      </c>
      <c r="E3" s="3"/>
      <c r="H3" s="15"/>
      <c r="I3" s="64"/>
      <c r="J3" s="15"/>
      <c r="K3" s="15"/>
      <c r="L3" s="15"/>
      <c r="M3" s="15"/>
    </row>
    <row r="4" spans="1:13" x14ac:dyDescent="0.35">
      <c r="A4" s="1" t="s">
        <v>8</v>
      </c>
      <c r="B4" s="1" t="s">
        <v>9</v>
      </c>
      <c r="C4" s="2">
        <v>15</v>
      </c>
      <c r="D4" s="2">
        <f>Servicios_Vet[[#This Row],[Costo]]-(Servicios_Vet[[#This Row],[Costo]]*Servicios_Vet[[#This Row],[Descuento]])</f>
        <v>15</v>
      </c>
      <c r="E4" s="3"/>
      <c r="H4" s="15"/>
      <c r="I4" s="41" t="s">
        <v>151</v>
      </c>
      <c r="J4" s="104"/>
      <c r="K4" s="105"/>
      <c r="L4" s="106"/>
      <c r="M4" s="15"/>
    </row>
    <row r="5" spans="1:13" x14ac:dyDescent="0.35">
      <c r="A5" s="1" t="s">
        <v>10</v>
      </c>
      <c r="B5" s="1" t="s">
        <v>11</v>
      </c>
      <c r="C5" s="2">
        <v>70</v>
      </c>
      <c r="D5" s="2">
        <f>Servicios_Vet[[#This Row],[Costo]]-(Servicios_Vet[[#This Row],[Costo]]*Servicios_Vet[[#This Row],[Descuento]])</f>
        <v>70</v>
      </c>
      <c r="E5" s="3"/>
      <c r="H5" s="15"/>
      <c r="I5" s="41" t="s">
        <v>152</v>
      </c>
      <c r="J5" s="104"/>
      <c r="K5" s="105"/>
      <c r="L5" s="106"/>
      <c r="M5" s="15"/>
    </row>
    <row r="6" spans="1:13" x14ac:dyDescent="0.35">
      <c r="A6" s="1" t="s">
        <v>12</v>
      </c>
      <c r="B6" s="1" t="s">
        <v>13</v>
      </c>
      <c r="C6" s="2">
        <v>5</v>
      </c>
      <c r="D6" s="2">
        <f>Servicios_Vet[[#This Row],[Costo]]-(Servicios_Vet[[#This Row],[Costo]]*Servicios_Vet[[#This Row],[Descuento]])</f>
        <v>5</v>
      </c>
      <c r="E6" s="3"/>
      <c r="H6" s="15"/>
      <c r="I6" s="42" t="s">
        <v>4</v>
      </c>
      <c r="J6" s="104"/>
      <c r="K6" s="105"/>
      <c r="L6" s="106"/>
      <c r="M6" s="15"/>
    </row>
    <row r="7" spans="1:13" x14ac:dyDescent="0.35">
      <c r="A7" s="1" t="s">
        <v>14</v>
      </c>
      <c r="B7" s="1" t="s">
        <v>15</v>
      </c>
      <c r="C7" s="2">
        <v>100</v>
      </c>
      <c r="D7" s="2">
        <f>Servicios_Vet[[#This Row],[Costo]]-(Servicios_Vet[[#This Row],[Costo]]*Servicios_Vet[[#This Row],[Descuento]])</f>
        <v>100</v>
      </c>
      <c r="E7" s="3"/>
      <c r="H7" s="15"/>
      <c r="I7" s="42" t="s">
        <v>1</v>
      </c>
      <c r="J7" s="113"/>
      <c r="K7" s="114"/>
      <c r="L7" s="114"/>
      <c r="M7" s="15"/>
    </row>
    <row r="8" spans="1:13" x14ac:dyDescent="0.35">
      <c r="A8" s="1" t="s">
        <v>16</v>
      </c>
      <c r="B8" s="1" t="s">
        <v>17</v>
      </c>
      <c r="C8" s="2">
        <v>150</v>
      </c>
      <c r="D8" s="2">
        <f>Servicios_Vet[[#This Row],[Costo]]-(Servicios_Vet[[#This Row],[Costo]]*Servicios_Vet[[#This Row],[Descuento]])</f>
        <v>150</v>
      </c>
      <c r="E8" s="3"/>
      <c r="H8" s="15"/>
      <c r="I8" s="42" t="s">
        <v>5</v>
      </c>
      <c r="J8" s="104"/>
      <c r="K8" s="105"/>
      <c r="L8" s="106"/>
      <c r="M8" s="15"/>
    </row>
    <row r="9" spans="1:13" ht="15" thickBot="1" x14ac:dyDescent="0.4">
      <c r="A9" s="1" t="s">
        <v>18</v>
      </c>
      <c r="B9" s="1" t="s">
        <v>19</v>
      </c>
      <c r="C9" s="2">
        <v>25</v>
      </c>
      <c r="D9" s="2">
        <f>Servicios_Vet[[#This Row],[Costo]]-(Servicios_Vet[[#This Row],[Costo]]*Servicios_Vet[[#This Row],[Descuento]])</f>
        <v>25</v>
      </c>
      <c r="E9" s="3"/>
      <c r="H9" s="15"/>
      <c r="I9" s="15"/>
      <c r="J9" s="15"/>
      <c r="K9" s="15"/>
      <c r="L9" s="15"/>
      <c r="M9" s="15"/>
    </row>
    <row r="10" spans="1:13" ht="14.5" customHeight="1" x14ac:dyDescent="0.35">
      <c r="A10" s="1" t="s">
        <v>20</v>
      </c>
      <c r="B10" s="1" t="s">
        <v>21</v>
      </c>
      <c r="C10" s="2">
        <v>30</v>
      </c>
      <c r="D10" s="2">
        <f>Servicios_Vet[[#This Row],[Costo]]-(Servicios_Vet[[#This Row],[Costo]]*Servicios_Vet[[#This Row],[Descuento]])</f>
        <v>30</v>
      </c>
      <c r="E10" s="3"/>
      <c r="H10" s="15"/>
      <c r="I10" s="107" t="s">
        <v>149</v>
      </c>
      <c r="J10" s="67"/>
      <c r="K10" s="109" t="s">
        <v>148</v>
      </c>
      <c r="L10" s="110"/>
      <c r="M10" s="15"/>
    </row>
    <row r="11" spans="1:13" ht="14.5" customHeight="1" thickBot="1" x14ac:dyDescent="0.4">
      <c r="A11" s="1" t="s">
        <v>22</v>
      </c>
      <c r="B11" s="1" t="s">
        <v>23</v>
      </c>
      <c r="C11" s="2">
        <v>45</v>
      </c>
      <c r="D11" s="2">
        <f>Servicios_Vet[[#This Row],[Costo]]-(Servicios_Vet[[#This Row],[Costo]]*Servicios_Vet[[#This Row],[Descuento]])</f>
        <v>45</v>
      </c>
      <c r="E11" s="3"/>
      <c r="H11" s="15"/>
      <c r="I11" s="108"/>
      <c r="J11" s="67"/>
      <c r="K11" s="111"/>
      <c r="L11" s="112"/>
      <c r="M11" s="15"/>
    </row>
    <row r="12" spans="1:13" ht="15" thickBot="1" x14ac:dyDescent="0.4">
      <c r="A12" s="1" t="s">
        <v>24</v>
      </c>
      <c r="B12" s="1" t="s">
        <v>25</v>
      </c>
      <c r="C12" s="2">
        <v>25</v>
      </c>
      <c r="D12" s="2">
        <f>Servicios_Vet[[#This Row],[Costo]]-(Servicios_Vet[[#This Row],[Costo]]*Servicios_Vet[[#This Row],[Descuento]])</f>
        <v>25</v>
      </c>
      <c r="E12" s="3"/>
      <c r="H12" s="15"/>
      <c r="I12" s="15"/>
      <c r="J12" s="15"/>
      <c r="K12" s="15"/>
      <c r="L12" s="15"/>
      <c r="M12" s="15"/>
    </row>
    <row r="13" spans="1:13" ht="14.5" customHeight="1" x14ac:dyDescent="0.35">
      <c r="A13" s="1" t="s">
        <v>26</v>
      </c>
      <c r="B13" s="1" t="s">
        <v>27</v>
      </c>
      <c r="C13" s="2">
        <v>30</v>
      </c>
      <c r="D13" s="2">
        <f>Servicios_Vet[[#This Row],[Costo]]-(Servicios_Vet[[#This Row],[Costo]]*Servicios_Vet[[#This Row],[Descuento]])</f>
        <v>30</v>
      </c>
      <c r="E13" s="3"/>
      <c r="H13" s="15"/>
      <c r="I13" s="107" t="s">
        <v>181</v>
      </c>
      <c r="J13" s="15"/>
      <c r="K13" s="109" t="s">
        <v>182</v>
      </c>
      <c r="L13" s="110"/>
      <c r="M13" s="15"/>
    </row>
    <row r="14" spans="1:13" ht="15" customHeight="1" thickBot="1" x14ac:dyDescent="0.4">
      <c r="A14" s="1" t="s">
        <v>28</v>
      </c>
      <c r="B14" s="1" t="s">
        <v>29</v>
      </c>
      <c r="C14" s="2">
        <v>100</v>
      </c>
      <c r="D14" s="2">
        <f>Servicios_Vet[[#This Row],[Costo]]-(Servicios_Vet[[#This Row],[Costo]]*Servicios_Vet[[#This Row],[Descuento]])</f>
        <v>100</v>
      </c>
      <c r="E14" s="3"/>
      <c r="H14" s="15"/>
      <c r="I14" s="108"/>
      <c r="J14" s="15"/>
      <c r="K14" s="111"/>
      <c r="L14" s="112"/>
      <c r="M14" s="15"/>
    </row>
    <row r="15" spans="1:13" x14ac:dyDescent="0.35">
      <c r="I15" s="15"/>
      <c r="J15" s="15"/>
      <c r="K15" s="15"/>
      <c r="L15" s="15"/>
      <c r="M15" s="15"/>
    </row>
    <row r="16" spans="1:13" x14ac:dyDescent="0.35">
      <c r="M16" s="15"/>
    </row>
  </sheetData>
  <mergeCells count="11">
    <mergeCell ref="A1:E1"/>
    <mergeCell ref="I2:L2"/>
    <mergeCell ref="J4:L4"/>
    <mergeCell ref="J5:L5"/>
    <mergeCell ref="I13:I14"/>
    <mergeCell ref="K13:L14"/>
    <mergeCell ref="J6:L6"/>
    <mergeCell ref="J8:L8"/>
    <mergeCell ref="J7:L7"/>
    <mergeCell ref="I10:I11"/>
    <mergeCell ref="K10:L11"/>
  </mergeCells>
  <phoneticPr fontId="3" type="noConversion"/>
  <pageMargins left="0.7" right="0.7" top="0.75" bottom="0.75" header="0.3" footer="0.3"/>
  <pageSetup orientation="portrait" horizontalDpi="360" verticalDpi="36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Menu Principal</vt:lpstr>
      <vt:lpstr>Calendario</vt:lpstr>
      <vt:lpstr>Registro de agenda</vt:lpstr>
      <vt:lpstr>Factura</vt:lpstr>
      <vt:lpstr>Clientes</vt:lpstr>
      <vt:lpstr>Proveedor</vt:lpstr>
      <vt:lpstr>Lista de control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Genesis ..</dc:creator>
  <cp:keywords/>
  <dc:description/>
  <cp:lastModifiedBy>Genesis ..</cp:lastModifiedBy>
  <cp:revision/>
  <dcterms:created xsi:type="dcterms:W3CDTF">2025-10-25T19:45:21Z</dcterms:created>
  <dcterms:modified xsi:type="dcterms:W3CDTF">2026-07-26T04:03:47Z</dcterms:modified>
  <cp:category/>
  <cp:contentStatus/>
</cp:coreProperties>
</file>